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ool_and_Trade" sheetId="1" state="visible" r:id="rId1"/>
    <sheet name="2_Curve_Adapts" sheetId="2" state="visible" r:id="rId2"/>
    <sheet name="3_Trade_Sequence" sheetId="3" state="visible" r:id="rId3"/>
    <sheet name="4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0"/>
    <numFmt numFmtId="166" formatCode="0.0"/>
    <numFmt numFmtId="167" formatCode="0.000000000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A365D"/>
      <sz val="12"/>
    </font>
    <font>
      <b val="1"/>
    </font>
    <font>
      <i val="1"/>
      <color rgb="00555555"/>
      <sz val="9"/>
    </font>
    <font>
      <b val="1"/>
      <color rgb="00FFFFFF"/>
      <sz val="10"/>
    </font>
    <font>
      <b val="1"/>
      <color rgb="00C53030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FEEBC8"/>
      </patternFill>
    </fill>
    <fill>
      <patternFill patternType="solid">
        <fgColor rgb="002B6CB0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164" fontId="0" fillId="4" borderId="2" applyAlignment="1" pivotButton="0" quotePrefix="0" xfId="0">
      <alignment horizontal="right"/>
    </xf>
    <xf numFmtId="165" fontId="0" fillId="5" borderId="2" applyAlignment="1" pivotButton="0" quotePrefix="0" xfId="0">
      <alignment horizontal="right"/>
    </xf>
    <xf numFmtId="164" fontId="0" fillId="5" borderId="2" applyAlignment="1" pivotButton="0" quotePrefix="0" xfId="0">
      <alignment horizontal="right"/>
    </xf>
    <xf numFmtId="0" fontId="4" fillId="0" borderId="0" pivotButton="0" quotePrefix="0" xfId="0"/>
    <xf numFmtId="0" fontId="5" fillId="6" borderId="0" applyAlignment="1" pivotButton="0" quotePrefix="0" xfId="0">
      <alignment horizontal="center"/>
    </xf>
    <xf numFmtId="2" fontId="0" fillId="3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10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164" fontId="0" fillId="0" borderId="0" pivotButton="0" quotePrefix="0" xfId="0"/>
    <xf numFmtId="164" fontId="0" fillId="5" borderId="0" pivotButton="0" quotePrefix="0" xfId="0"/>
    <xf numFmtId="0" fontId="3" fillId="0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7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Option value across strikes — BEFORE vs AFTER the trade</a:t>
            </a:r>
          </a:p>
        </rich>
      </tx>
    </title>
    <plotArea>
      <lineChart>
        <grouping val="standard"/>
        <ser>
          <idx val="0"/>
          <order val="0"/>
          <tx>
            <strRef>
              <f>'2_Curve_Adapts'!C3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'2_Curve_Adapts'!$A$4:$A$10</f>
            </numRef>
          </cat>
          <val>
            <numRef>
              <f>'2_Curve_Adapts'!$C$4:$C$10</f>
            </numRef>
          </val>
        </ser>
        <ser>
          <idx val="1"/>
          <order val="1"/>
          <tx>
            <strRef>
              <f>'2_Curve_Adapts'!D3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'2_Curve_Adapts'!$A$4:$A$10</f>
            </numRef>
          </cat>
          <val>
            <numRef>
              <f>'2_Curve_Adapts'!$D$4:$D$10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 = ln(S/K)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 and the seam evolving trade by trade</a:t>
            </a:r>
          </a:p>
        </rich>
      </tx>
    </title>
    <plotArea>
      <lineChart>
        <grouping val="standard"/>
        <ser>
          <idx val="0"/>
          <order val="0"/>
          <tx>
            <strRef>
              <f>'3_Trade_Sequence'!F3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'3_Trade_Sequence'!$A$4:$A$9</f>
            </numRef>
          </cat>
          <val>
            <numRef>
              <f>'3_Trade_Sequence'!$F$4:$F$9</f>
            </numRef>
          </val>
        </ser>
        <ser>
          <idx val="1"/>
          <order val="1"/>
          <tx>
            <strRef>
              <f>'3_Trade_Sequence'!I3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'3_Trade_Sequence'!$A$4:$A$9</f>
            </numRef>
          </cat>
          <val>
            <numRef>
              <f>'3_Trade_Sequence'!$I$4:$I$9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52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THE AMM CURVE AND HOW IT ADAPTS TO A TRADE  (engine law: tradeUpdateAt, trade-point conservation)</t>
        </is>
      </c>
    </row>
    <row r="3">
      <c r="A3" s="2" t="inlineStr">
        <is>
          <t>POOL STATE — BEFORE</t>
        </is>
      </c>
    </row>
    <row r="4">
      <c r="A4" s="3" t="inlineStr">
        <is>
          <t>x  (asset reserve)</t>
        </is>
      </c>
      <c r="B4" s="4" t="n">
        <v>10</v>
      </c>
    </row>
    <row r="5">
      <c r="A5" s="3" t="inlineStr">
        <is>
          <t>y  (cash reserve)</t>
        </is>
      </c>
      <c r="B5" s="4" t="n">
        <v>10</v>
      </c>
    </row>
    <row r="6">
      <c r="A6" s="3" t="inlineStr">
        <is>
          <t>w  (weight)</t>
        </is>
      </c>
      <c r="B6" s="5" t="n">
        <v>0.5</v>
      </c>
    </row>
    <row r="7">
      <c r="A7" s="3" t="inlineStr">
        <is>
          <t>m  (steepness knob)</t>
        </is>
      </c>
      <c r="B7" s="6" t="n">
        <v>1</v>
      </c>
    </row>
    <row r="8">
      <c r="A8" s="3" t="inlineStr">
        <is>
          <t>gamma = w/(1-w)</t>
        </is>
      </c>
      <c r="B8" s="7">
        <f>B6/(1-B6)</f>
        <v/>
      </c>
    </row>
    <row r="9">
      <c r="A9" s="3" t="inlineStr">
        <is>
          <t>g = m*gamma</t>
        </is>
      </c>
      <c r="B9" s="7">
        <f>B7*B8</f>
        <v/>
      </c>
    </row>
    <row r="10">
      <c r="A10" s="3" t="inlineStr">
        <is>
          <t>seam u* = LN(g/(g+1))</t>
        </is>
      </c>
      <c r="B10" s="7">
        <f>LN(B9/(B9+1))</f>
        <v/>
      </c>
    </row>
    <row r="11">
      <c r="A11" s="3" t="inlineStr">
        <is>
          <t>seam S*/K = EXP(u*)</t>
        </is>
      </c>
      <c r="B11" s="8">
        <f>EXP(B10)</f>
        <v/>
      </c>
    </row>
    <row r="12">
      <c r="A12" s="3" t="inlineStr">
        <is>
          <t>V_atm</t>
        </is>
      </c>
      <c r="B12" s="7">
        <f>(1/(B9+1))*(B9/(B9+1))^B9</f>
        <v/>
      </c>
    </row>
    <row r="14">
      <c r="A14" s="2" t="inlineStr">
        <is>
          <t>THE TRADE  (edit these)</t>
        </is>
      </c>
    </row>
    <row r="15">
      <c r="A15" s="3" t="inlineStr">
        <is>
          <t>rho  (ray / strike ratio)</t>
        </is>
      </c>
      <c r="B15" s="4" t="n">
        <v>4</v>
      </c>
    </row>
    <row r="16">
      <c r="A16" s="3" t="inlineStr">
        <is>
          <t>dy   (cash in +, out -)</t>
        </is>
      </c>
      <c r="B16" s="4" t="n">
        <v>1</v>
      </c>
    </row>
    <row r="18">
      <c r="A18" s="2" t="inlineStr">
        <is>
          <t>TRADE-POINT QUANTITIES (engine law)</t>
        </is>
      </c>
    </row>
    <row r="19">
      <c r="A19" s="3" t="inlineStr">
        <is>
          <t>y_T = y*rho^w</t>
        </is>
      </c>
      <c r="B19" s="7">
        <f>B5*B15^B6</f>
        <v/>
      </c>
    </row>
    <row r="20">
      <c r="A20" s="3" t="inlineStr">
        <is>
          <t>x_T = x*rho^(w-1)</t>
        </is>
      </c>
      <c r="B20" s="7">
        <f>B4*B15^(B6-1)</f>
        <v/>
      </c>
    </row>
    <row r="21">
      <c r="A21" s="3" t="inlineStr">
        <is>
          <t>alpha_T = w*x_T</t>
        </is>
      </c>
      <c r="B21" s="7">
        <f>B6*B20</f>
        <v/>
      </c>
    </row>
    <row r="22">
      <c r="A22" s="3" t="inlineStr">
        <is>
          <t>beta_T = (1-w)*y_T</t>
        </is>
      </c>
      <c r="B22" s="7">
        <f>(1-B6)*B19</f>
        <v/>
      </c>
    </row>
    <row r="23">
      <c r="A23" s="3" t="inlineStr">
        <is>
          <t>den = w*y_T + dy</t>
        </is>
      </c>
      <c r="B23" s="7">
        <f>B6*B19+B16</f>
        <v/>
      </c>
    </row>
    <row r="25">
      <c r="A25" s="2" t="inlineStr">
        <is>
          <t>POOL STATE — AFTER</t>
        </is>
      </c>
    </row>
    <row r="26">
      <c r="A26" s="3" t="inlineStr">
        <is>
          <t>dx = -alpha_T*dy/den</t>
        </is>
      </c>
      <c r="B26" s="9">
        <f>-B21*B16/B23</f>
        <v/>
      </c>
    </row>
    <row r="27">
      <c r="A27" s="3" t="inlineStr">
        <is>
          <t>x' = x + dx</t>
        </is>
      </c>
      <c r="B27" s="9">
        <f>B4+B26</f>
        <v/>
      </c>
    </row>
    <row r="28">
      <c r="A28" s="3" t="inlineStr">
        <is>
          <t>y' = y + dy</t>
        </is>
      </c>
      <c r="B28" s="9">
        <f>B5+B16</f>
        <v/>
      </c>
    </row>
    <row r="29">
      <c r="A29" s="3" t="inlineStr">
        <is>
          <t>w' = den/(y_T+dy)</t>
        </is>
      </c>
      <c r="B29" s="9">
        <f>B23/(B19+B16)</f>
        <v/>
      </c>
    </row>
    <row r="30">
      <c r="A30" s="3" t="inlineStr">
        <is>
          <t>gamma' = w'/(1-w')</t>
        </is>
      </c>
      <c r="B30" s="9">
        <f>B29/(1-B29)</f>
        <v/>
      </c>
    </row>
    <row r="31">
      <c r="A31" s="3" t="inlineStr">
        <is>
          <t>g' = m*gamma'</t>
        </is>
      </c>
      <c r="B31" s="9">
        <f>B7*B30</f>
        <v/>
      </c>
    </row>
    <row r="32">
      <c r="A32" s="3" t="inlineStr">
        <is>
          <t xml:space="preserve">seam u*' </t>
        </is>
      </c>
      <c r="B32" s="9">
        <f>LN(B31/(B31+1))</f>
        <v/>
      </c>
    </row>
    <row r="33">
      <c r="A33" s="3" t="inlineStr">
        <is>
          <t>seam S*/K'</t>
        </is>
      </c>
      <c r="B33" s="10">
        <f>EXP(B32)</f>
        <v/>
      </c>
    </row>
    <row r="34">
      <c r="A34" s="3" t="inlineStr">
        <is>
          <t>V_atm'</t>
        </is>
      </c>
      <c r="B34" s="9">
        <f>(1/(B31+1))*(B31/(B31+1))^B31</f>
        <v/>
      </c>
    </row>
    <row r="36">
      <c r="A36" s="11" t="inlineStr">
        <is>
          <t>A trade changes w -&gt; gamma -&gt; g -&gt; the SEAM MOVES and EVERY strike re-prices. That is the adaptation.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1" customWidth="1" min="1" max="1"/>
  </cols>
  <sheetData>
    <row r="1" ht="22" customHeight="1">
      <c r="A1" s="1" t="inlineStr">
        <is>
          <t>THE CURVE BEFORE vs AFTER THE TRADE — every strike re-prices, the seam slides</t>
        </is>
      </c>
    </row>
    <row r="3">
      <c r="A3" s="12" t="inlineStr">
        <is>
          <t>u=LN(S/K)</t>
        </is>
      </c>
      <c r="B3" s="12" t="inlineStr">
        <is>
          <t>S/K</t>
        </is>
      </c>
      <c r="C3" s="12" t="inlineStr">
        <is>
          <t>V BEFORE</t>
        </is>
      </c>
      <c r="D3" s="12" t="inlineStr">
        <is>
          <t>V AFTER</t>
        </is>
      </c>
      <c r="E3" s="12" t="inlineStr">
        <is>
          <t>change %</t>
        </is>
      </c>
      <c r="F3" s="12" t="inlineStr">
        <is>
          <t>Delta BEFORE</t>
        </is>
      </c>
      <c r="G3" s="12" t="inlineStr">
        <is>
          <t>Delta AFTER</t>
        </is>
      </c>
      <c r="H3" s="12" t="inlineStr">
        <is>
          <t>regime AFTER</t>
        </is>
      </c>
    </row>
    <row r="4">
      <c r="A4" s="13" t="n">
        <v>-0.9</v>
      </c>
      <c r="B4" s="14">
        <f>EXP(A4)</f>
        <v/>
      </c>
      <c r="C4" s="15">
        <f>IF(A4&lt;'1_Pool_and_Trade'!$B$10,1-EXP(A4),'1_Pool_and_Trade'!$B$12*EXP(-'1_Pool_and_Trade'!$B$9*A4))</f>
        <v/>
      </c>
      <c r="D4" s="9">
        <f>IF(A4&lt;'1_Pool_and_Trade'!$B$32,1-EXP(A4),'1_Pool_and_Trade'!$B$34*EXP(-'1_Pool_and_Trade'!$B$31*A4))</f>
        <v/>
      </c>
      <c r="E4" s="16">
        <f>D4/C4-1</f>
        <v/>
      </c>
      <c r="F4" s="15">
        <f>IF(A4&lt;'1_Pool_and_Trade'!$B$10,EXP(A4),'1_Pool_and_Trade'!$B$9*C4)</f>
        <v/>
      </c>
      <c r="G4" s="15">
        <f>IF(A4&lt;'1_Pool_and_Trade'!$B$32,EXP(A4),'1_Pool_and_Trade'!$B$31*D4)</f>
        <v/>
      </c>
      <c r="H4" s="17">
        <f>IF(A4&lt;'1_Pool_and_Trade'!$B$32,"INTRINSIC","continuation")</f>
        <v/>
      </c>
    </row>
    <row r="5">
      <c r="A5" s="13" t="n">
        <v>-0.6</v>
      </c>
      <c r="B5" s="14">
        <f>EXP(A5)</f>
        <v/>
      </c>
      <c r="C5" s="15">
        <f>IF(A5&lt;'1_Pool_and_Trade'!$B$10,1-EXP(A5),'1_Pool_and_Trade'!$B$12*EXP(-'1_Pool_and_Trade'!$B$9*A5))</f>
        <v/>
      </c>
      <c r="D5" s="9">
        <f>IF(A5&lt;'1_Pool_and_Trade'!$B$32,1-EXP(A5),'1_Pool_and_Trade'!$B$34*EXP(-'1_Pool_and_Trade'!$B$31*A5))</f>
        <v/>
      </c>
      <c r="E5" s="16">
        <f>D5/C5-1</f>
        <v/>
      </c>
      <c r="F5" s="15">
        <f>IF(A5&lt;'1_Pool_and_Trade'!$B$10,EXP(A5),'1_Pool_and_Trade'!$B$9*C5)</f>
        <v/>
      </c>
      <c r="G5" s="15">
        <f>IF(A5&lt;'1_Pool_and_Trade'!$B$32,EXP(A5),'1_Pool_and_Trade'!$B$31*D5)</f>
        <v/>
      </c>
      <c r="H5" s="17">
        <f>IF(A5&lt;'1_Pool_and_Trade'!$B$32,"INTRINSIC","continuation")</f>
        <v/>
      </c>
    </row>
    <row r="6">
      <c r="A6" s="13" t="n">
        <v>-0.3</v>
      </c>
      <c r="B6" s="14">
        <f>EXP(A6)</f>
        <v/>
      </c>
      <c r="C6" s="15">
        <f>IF(A6&lt;'1_Pool_and_Trade'!$B$10,1-EXP(A6),'1_Pool_and_Trade'!$B$12*EXP(-'1_Pool_and_Trade'!$B$9*A6))</f>
        <v/>
      </c>
      <c r="D6" s="9">
        <f>IF(A6&lt;'1_Pool_and_Trade'!$B$32,1-EXP(A6),'1_Pool_and_Trade'!$B$34*EXP(-'1_Pool_and_Trade'!$B$31*A6))</f>
        <v/>
      </c>
      <c r="E6" s="16">
        <f>D6/C6-1</f>
        <v/>
      </c>
      <c r="F6" s="15">
        <f>IF(A6&lt;'1_Pool_and_Trade'!$B$10,EXP(A6),'1_Pool_and_Trade'!$B$9*C6)</f>
        <v/>
      </c>
      <c r="G6" s="15">
        <f>IF(A6&lt;'1_Pool_and_Trade'!$B$32,EXP(A6),'1_Pool_and_Trade'!$B$31*D6)</f>
        <v/>
      </c>
      <c r="H6" s="17">
        <f>IF(A6&lt;'1_Pool_and_Trade'!$B$32,"INTRINSIC","continuation")</f>
        <v/>
      </c>
    </row>
    <row r="7">
      <c r="A7" s="13" t="n">
        <v>0</v>
      </c>
      <c r="B7" s="14">
        <f>EXP(A7)</f>
        <v/>
      </c>
      <c r="C7" s="15">
        <f>IF(A7&lt;'1_Pool_and_Trade'!$B$10,1-EXP(A7),'1_Pool_and_Trade'!$B$12*EXP(-'1_Pool_and_Trade'!$B$9*A7))</f>
        <v/>
      </c>
      <c r="D7" s="9">
        <f>IF(A7&lt;'1_Pool_and_Trade'!$B$32,1-EXP(A7),'1_Pool_and_Trade'!$B$34*EXP(-'1_Pool_and_Trade'!$B$31*A7))</f>
        <v/>
      </c>
      <c r="E7" s="16">
        <f>D7/C7-1</f>
        <v/>
      </c>
      <c r="F7" s="15">
        <f>IF(A7&lt;'1_Pool_and_Trade'!$B$10,EXP(A7),'1_Pool_and_Trade'!$B$9*C7)</f>
        <v/>
      </c>
      <c r="G7" s="15">
        <f>IF(A7&lt;'1_Pool_and_Trade'!$B$32,EXP(A7),'1_Pool_and_Trade'!$B$31*D7)</f>
        <v/>
      </c>
      <c r="H7" s="17">
        <f>IF(A7&lt;'1_Pool_and_Trade'!$B$32,"INTRINSIC","continuation")</f>
        <v/>
      </c>
    </row>
    <row r="8">
      <c r="A8" s="13" t="n">
        <v>0.3</v>
      </c>
      <c r="B8" s="14">
        <f>EXP(A8)</f>
        <v/>
      </c>
      <c r="C8" s="15">
        <f>IF(A8&lt;'1_Pool_and_Trade'!$B$10,1-EXP(A8),'1_Pool_and_Trade'!$B$12*EXP(-'1_Pool_and_Trade'!$B$9*A8))</f>
        <v/>
      </c>
      <c r="D8" s="9">
        <f>IF(A8&lt;'1_Pool_and_Trade'!$B$32,1-EXP(A8),'1_Pool_and_Trade'!$B$34*EXP(-'1_Pool_and_Trade'!$B$31*A8))</f>
        <v/>
      </c>
      <c r="E8" s="16">
        <f>D8/C8-1</f>
        <v/>
      </c>
      <c r="F8" s="15">
        <f>IF(A8&lt;'1_Pool_and_Trade'!$B$10,EXP(A8),'1_Pool_and_Trade'!$B$9*C8)</f>
        <v/>
      </c>
      <c r="G8" s="15">
        <f>IF(A8&lt;'1_Pool_and_Trade'!$B$32,EXP(A8),'1_Pool_and_Trade'!$B$31*D8)</f>
        <v/>
      </c>
      <c r="H8" s="17">
        <f>IF(A8&lt;'1_Pool_and_Trade'!$B$32,"INTRINSIC","continuation")</f>
        <v/>
      </c>
    </row>
    <row r="9">
      <c r="A9" s="13" t="n">
        <v>0.6</v>
      </c>
      <c r="B9" s="14">
        <f>EXP(A9)</f>
        <v/>
      </c>
      <c r="C9" s="15">
        <f>IF(A9&lt;'1_Pool_and_Trade'!$B$10,1-EXP(A9),'1_Pool_and_Trade'!$B$12*EXP(-'1_Pool_and_Trade'!$B$9*A9))</f>
        <v/>
      </c>
      <c r="D9" s="9">
        <f>IF(A9&lt;'1_Pool_and_Trade'!$B$32,1-EXP(A9),'1_Pool_and_Trade'!$B$34*EXP(-'1_Pool_and_Trade'!$B$31*A9))</f>
        <v/>
      </c>
      <c r="E9" s="16">
        <f>D9/C9-1</f>
        <v/>
      </c>
      <c r="F9" s="15">
        <f>IF(A9&lt;'1_Pool_and_Trade'!$B$10,EXP(A9),'1_Pool_and_Trade'!$B$9*C9)</f>
        <v/>
      </c>
      <c r="G9" s="15">
        <f>IF(A9&lt;'1_Pool_and_Trade'!$B$32,EXP(A9),'1_Pool_and_Trade'!$B$31*D9)</f>
        <v/>
      </c>
      <c r="H9" s="17">
        <f>IF(A9&lt;'1_Pool_and_Trade'!$B$32,"INTRINSIC","continuation")</f>
        <v/>
      </c>
    </row>
    <row r="10">
      <c r="A10" s="13" t="n">
        <v>0.9</v>
      </c>
      <c r="B10" s="14">
        <f>EXP(A10)</f>
        <v/>
      </c>
      <c r="C10" s="15">
        <f>IF(A10&lt;'1_Pool_and_Trade'!$B$10,1-EXP(A10),'1_Pool_and_Trade'!$B$12*EXP(-'1_Pool_and_Trade'!$B$9*A10))</f>
        <v/>
      </c>
      <c r="D10" s="9">
        <f>IF(A10&lt;'1_Pool_and_Trade'!$B$32,1-EXP(A10),'1_Pool_and_Trade'!$B$34*EXP(-'1_Pool_and_Trade'!$B$31*A10))</f>
        <v/>
      </c>
      <c r="E10" s="16">
        <f>D10/C10-1</f>
        <v/>
      </c>
      <c r="F10" s="15">
        <f>IF(A10&lt;'1_Pool_and_Trade'!$B$10,EXP(A10),'1_Pool_and_Trade'!$B$9*C10)</f>
        <v/>
      </c>
      <c r="G10" s="15">
        <f>IF(A10&lt;'1_Pool_and_Trade'!$B$32,EXP(A10),'1_Pool_and_Trade'!$B$31*D10)</f>
        <v/>
      </c>
      <c r="H10" s="17">
        <f>IF(A10&lt;'1_Pool_and_Trade'!$B$32,"INTRINSIC","continuation")</f>
        <v/>
      </c>
    </row>
    <row r="13">
      <c r="A13" s="3" t="inlineStr">
        <is>
          <t>Seam BEFORE / AFTER (S*/K):</t>
        </is>
      </c>
      <c r="C13" s="18">
        <f>'1_Pool_and_Trade'!B11</f>
        <v/>
      </c>
      <c r="D13" s="19">
        <f>'1_Pool_and_Trade'!B33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8" customWidth="1" min="1" max="1"/>
  </cols>
  <sheetData>
    <row r="1" ht="22" customHeight="1">
      <c r="A1" s="1" t="inlineStr">
        <is>
          <t>A SEQUENCE OF TRADES — the curve keeps adapting; each row starts from the previous row's state</t>
        </is>
      </c>
    </row>
    <row r="3">
      <c r="A3" s="12" t="inlineStr">
        <is>
          <t>step</t>
        </is>
      </c>
      <c r="B3" s="12" t="inlineStr">
        <is>
          <t>rho</t>
        </is>
      </c>
      <c r="C3" s="12" t="inlineStr">
        <is>
          <t>dy</t>
        </is>
      </c>
      <c r="D3" s="12" t="inlineStr">
        <is>
          <t>x</t>
        </is>
      </c>
      <c r="E3" s="12" t="inlineStr">
        <is>
          <t>y</t>
        </is>
      </c>
      <c r="F3" s="12" t="inlineStr">
        <is>
          <t>w</t>
        </is>
      </c>
      <c r="G3" s="12" t="inlineStr">
        <is>
          <t>gamma</t>
        </is>
      </c>
      <c r="H3" s="12" t="inlineStr">
        <is>
          <t>g</t>
        </is>
      </c>
      <c r="I3" s="12" t="inlineStr">
        <is>
          <t>seam S*/K</t>
        </is>
      </c>
      <c r="J3" s="12" t="inlineStr">
        <is>
          <t>V_atm</t>
        </is>
      </c>
    </row>
    <row r="4">
      <c r="A4" s="20" t="n">
        <v>0</v>
      </c>
      <c r="B4" s="17" t="n"/>
      <c r="C4" s="17" t="n"/>
      <c r="D4" s="15">
        <f>'1_Pool_and_Trade'!B4</f>
        <v/>
      </c>
      <c r="E4" s="15">
        <f>'1_Pool_and_Trade'!B5</f>
        <v/>
      </c>
      <c r="F4" s="15">
        <f>'1_Pool_and_Trade'!B6</f>
        <v/>
      </c>
      <c r="G4" s="15">
        <f>F4/(1-F4)</f>
        <v/>
      </c>
      <c r="H4" s="15">
        <f>'1_Pool_and_Trade'!$B$7*G4</f>
        <v/>
      </c>
      <c r="I4" s="14">
        <f>EXP(LN(H4/(H4+1)))</f>
        <v/>
      </c>
      <c r="J4" s="15">
        <f>(1/(H4+1))*(H4/(H4+1))^H4</f>
        <v/>
      </c>
    </row>
    <row r="5">
      <c r="A5" s="20" t="n">
        <v>1</v>
      </c>
      <c r="B5" s="21" t="n">
        <v>4</v>
      </c>
      <c r="C5" s="21" t="n">
        <v>1</v>
      </c>
      <c r="D5" s="15">
        <f>D4-(F4*D4*B5^(F4-1))*C5/(F4*E4*B5^F4+C5)</f>
        <v/>
      </c>
      <c r="E5" s="15">
        <f>E4+C5</f>
        <v/>
      </c>
      <c r="F5" s="15">
        <f>(F4*E4*B5^F4+C5)/(E4*B5^F4+C5)</f>
        <v/>
      </c>
      <c r="G5" s="15">
        <f>F5/(1-F5)</f>
        <v/>
      </c>
      <c r="H5" s="15">
        <f>'1_Pool_and_Trade'!$B$7*G5</f>
        <v/>
      </c>
      <c r="I5" s="14">
        <f>H5/(H5+1)</f>
        <v/>
      </c>
      <c r="J5" s="15">
        <f>(1/(H5+1))*(H5/(H5+1))^H5</f>
        <v/>
      </c>
    </row>
    <row r="6">
      <c r="A6" s="20" t="n">
        <v>2</v>
      </c>
      <c r="B6" s="21" t="n">
        <v>0.5</v>
      </c>
      <c r="C6" s="21" t="n">
        <v>-0.8</v>
      </c>
      <c r="D6" s="15">
        <f>D5-(F5*D5*B6^(F5-1))*C6/(F5*E5*B6^F5+C6)</f>
        <v/>
      </c>
      <c r="E6" s="15">
        <f>E5+C6</f>
        <v/>
      </c>
      <c r="F6" s="15">
        <f>(F5*E5*B6^F5+C6)/(E5*B6^F5+C6)</f>
        <v/>
      </c>
      <c r="G6" s="15">
        <f>F6/(1-F6)</f>
        <v/>
      </c>
      <c r="H6" s="15">
        <f>'1_Pool_and_Trade'!$B$7*G6</f>
        <v/>
      </c>
      <c r="I6" s="14">
        <f>H6/(H6+1)</f>
        <v/>
      </c>
      <c r="J6" s="15">
        <f>(1/(H6+1))*(H6/(H6+1))^H6</f>
        <v/>
      </c>
    </row>
    <row r="7">
      <c r="A7" s="20" t="n">
        <v>3</v>
      </c>
      <c r="B7" s="21" t="n">
        <v>2</v>
      </c>
      <c r="C7" s="21" t="n">
        <v>1.5</v>
      </c>
      <c r="D7" s="15">
        <f>D6-(F6*D6*B7^(F6-1))*C7/(F6*E6*B7^F6+C7)</f>
        <v/>
      </c>
      <c r="E7" s="15">
        <f>E6+C7</f>
        <v/>
      </c>
      <c r="F7" s="15">
        <f>(F6*E6*B7^F6+C7)/(E6*B7^F6+C7)</f>
        <v/>
      </c>
      <c r="G7" s="15">
        <f>F7/(1-F7)</f>
        <v/>
      </c>
      <c r="H7" s="15">
        <f>'1_Pool_and_Trade'!$B$7*G7</f>
        <v/>
      </c>
      <c r="I7" s="14">
        <f>H7/(H7+1)</f>
        <v/>
      </c>
      <c r="J7" s="15">
        <f>(1/(H7+1))*(H7/(H7+1))^H7</f>
        <v/>
      </c>
    </row>
    <row r="8">
      <c r="A8" s="20" t="n">
        <v>4</v>
      </c>
      <c r="B8" s="21" t="n">
        <v>1</v>
      </c>
      <c r="C8" s="21" t="n">
        <v>-1.2</v>
      </c>
      <c r="D8" s="15">
        <f>D7-(F7*D7*B8^(F7-1))*C8/(F7*E7*B8^F7+C8)</f>
        <v/>
      </c>
      <c r="E8" s="15">
        <f>E7+C8</f>
        <v/>
      </c>
      <c r="F8" s="15">
        <f>(F7*E7*B8^F7+C8)/(E7*B8^F7+C8)</f>
        <v/>
      </c>
      <c r="G8" s="15">
        <f>F8/(1-F8)</f>
        <v/>
      </c>
      <c r="H8" s="15">
        <f>'1_Pool_and_Trade'!$B$7*G8</f>
        <v/>
      </c>
      <c r="I8" s="14">
        <f>H8/(H8+1)</f>
        <v/>
      </c>
      <c r="J8" s="15">
        <f>(1/(H8+1))*(H8/(H8+1))^H8</f>
        <v/>
      </c>
    </row>
    <row r="9">
      <c r="A9" s="20" t="n">
        <v>5</v>
      </c>
      <c r="B9" s="21" t="n">
        <v>3</v>
      </c>
      <c r="C9" s="21" t="n">
        <v>0.6</v>
      </c>
      <c r="D9" s="15">
        <f>D8-(F8*D8*B9^(F8-1))*C9/(F8*E8*B9^F8+C9)</f>
        <v/>
      </c>
      <c r="E9" s="15">
        <f>E8+C9</f>
        <v/>
      </c>
      <c r="F9" s="15">
        <f>(F8*E8*B9^F8+C9)/(E8*B9^F8+C9)</f>
        <v/>
      </c>
      <c r="G9" s="15">
        <f>F9/(1-F9)</f>
        <v/>
      </c>
      <c r="H9" s="15">
        <f>'1_Pool_and_Trade'!$B$7*G9</f>
        <v/>
      </c>
      <c r="I9" s="14">
        <f>H9/(H9+1)</f>
        <v/>
      </c>
      <c r="J9" s="15">
        <f>(1/(H9+1))*(H9/(H9+1))^H9</f>
        <v/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12" customWidth="1" min="3" max="3"/>
    <col width="42" customWidth="1" min="4" max="4"/>
  </cols>
  <sheetData>
    <row r="1" ht="22" customHeight="1">
      <c r="A1" s="1" t="inlineStr">
        <is>
          <t>CHECKS on the trade law and the adaptation</t>
        </is>
      </c>
    </row>
    <row r="3">
      <c r="A3" s="12" t="inlineStr">
        <is>
          <t>check</t>
        </is>
      </c>
      <c r="B3" s="12" t="inlineStr">
        <is>
          <t>value</t>
        </is>
      </c>
      <c r="C3" s="12" t="inlineStr">
        <is>
          <t>want</t>
        </is>
      </c>
      <c r="D3" s="12" t="inlineStr">
        <is>
          <t>what it proves</t>
        </is>
      </c>
    </row>
    <row r="4">
      <c r="A4" s="3" t="inlineStr">
        <is>
          <t>T1  w' matches the pinned exhibit 11/21</t>
        </is>
      </c>
      <c r="B4" s="22">
        <f>'1_Pool_and_Trade'!B29-11/21</f>
        <v/>
      </c>
      <c r="C4" s="23">
        <f>0</f>
        <v/>
      </c>
      <c r="D4" s="11" t="inlineStr">
        <is>
          <t>engine trade law reproduced exactly</t>
        </is>
      </c>
    </row>
    <row r="5">
      <c r="A5" s="3" t="inlineStr">
        <is>
          <t>T2  x' matches 215/22</t>
        </is>
      </c>
      <c r="B5" s="22">
        <f>'1_Pool_and_Trade'!B27-215/22</f>
        <v/>
      </c>
      <c r="C5" s="23">
        <f>0</f>
        <v/>
      </c>
      <c r="D5" s="11" t="inlineStr">
        <is>
          <t>trade-point conservation</t>
        </is>
      </c>
    </row>
    <row r="6">
      <c r="A6" s="3" t="inlineStr">
        <is>
          <t>T3  dx matches -5/22</t>
        </is>
      </c>
      <c r="B6" s="22">
        <f>'1_Pool_and_Trade'!B26+5/22</f>
        <v/>
      </c>
      <c r="C6" s="23">
        <f>0</f>
        <v/>
      </c>
      <c r="D6" s="11" t="inlineStr">
        <is>
          <t>the displaced-x law</t>
        </is>
      </c>
    </row>
    <row r="7">
      <c r="A7" s="3" t="inlineStr">
        <is>
          <t>T4  w' strictly inside (0,1)</t>
        </is>
      </c>
      <c r="B7" s="22">
        <f>MIN('1_Pool_and_Trade'!B29,1-'1_Pool_and_Trade'!B29)</f>
        <v/>
      </c>
      <c r="C7" s="23" t="inlineStr">
        <is>
          <t>&gt;0</t>
        </is>
      </c>
      <c r="D7" s="11" t="inlineStr">
        <is>
          <t>pool stays well-posed</t>
        </is>
      </c>
    </row>
    <row r="8">
      <c r="A8" s="3" t="inlineStr">
        <is>
          <t>T5  seam MOVED (adaptation is real)</t>
        </is>
      </c>
      <c r="B8" s="22">
        <f>'1_Pool_and_Trade'!B33-'1_Pool_and_Trade'!B11</f>
        <v/>
      </c>
      <c r="C8" s="23" t="inlineStr">
        <is>
          <t>&lt;&gt;0</t>
        </is>
      </c>
      <c r="D8" s="11" t="inlineStr">
        <is>
          <t>a trade re-prices the whole book</t>
        </is>
      </c>
    </row>
    <row r="9">
      <c r="A9" s="3" t="inlineStr">
        <is>
          <t>T6  value &gt;= intrinsic AFTER, deepest ITM</t>
        </is>
      </c>
      <c r="B9" s="22">
        <f>'2_Curve_Adapts'!D4-MAX(0,1-'2_Curve_Adapts'!B4)</f>
        <v/>
      </c>
      <c r="C9" s="23" t="inlineStr">
        <is>
          <t>&gt;=0</t>
        </is>
      </c>
      <c r="D9" s="11" t="inlineStr">
        <is>
          <t>no arb vs exercising, post-trade</t>
        </is>
      </c>
    </row>
    <row r="10">
      <c r="A10" s="3" t="inlineStr">
        <is>
          <t>T7  y' = y + dy exactly</t>
        </is>
      </c>
      <c r="B10" s="22">
        <f>'1_Pool_and_Trade'!B28-('1_Pool_and_Trade'!B5+'1_Pool_and_Trade'!B16)</f>
        <v/>
      </c>
      <c r="C10" s="23">
        <f>0</f>
        <v/>
      </c>
      <c r="D10" s="11" t="inlineStr">
        <is>
          <t>cash leg is exact</t>
        </is>
      </c>
    </row>
    <row r="12">
      <c r="A12" s="24" t="inlineStr">
        <is>
          <t>T1-T3 tie this sheet to the engine's pinned exhibit; if they are 0, the sheet IS the engine's law.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2026-08-14T19:18:32Z</dcterms:created>
  <dcterms:modified xsi:type="dcterms:W3CDTF">2026-08-14T19:18:32Z</dcterms:modified>
</cp:coreProperties>
</file>