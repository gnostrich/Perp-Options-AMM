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Assumptions" sheetId="2" state="visible" r:id="rId2"/>
    <sheet name="Regime_Grid" sheetId="3" state="visible" r:id="rId3"/>
    <sheet name="Scenario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x&quot;"/>
    <numFmt numFmtId="165" formatCode="0.0&quot; bps&quot;"/>
    <numFmt numFmtId="166" formatCode="0.0%"/>
  </numFmts>
  <fonts count="7">
    <font>
      <name val="Calibri"/>
      <family val="2"/>
      <color theme="1"/>
      <sz val="11"/>
      <scheme val="minor"/>
    </font>
    <font>
      <b val="1"/>
    </font>
    <font/>
    <font>
      <b val="1"/>
      <color rgb="001A365D"/>
      <sz val="13"/>
    </font>
    <font>
      <i val="1"/>
      <color rgb="00555555"/>
      <sz val="9"/>
    </font>
    <font>
      <b val="1"/>
      <color rgb="00FFFFFF"/>
      <sz val="13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B6CB0"/>
      </patternFill>
    </fill>
    <fill>
      <patternFill patternType="solid">
        <fgColor rgb="00FFF3CD"/>
      </patternFill>
    </fill>
    <fill>
      <patternFill patternType="solid">
        <fgColor rgb="00EDF2F7"/>
      </patternFill>
    </fill>
    <fill>
      <patternFill patternType="solid">
        <fgColor rgb="00E2E8F0"/>
      </patternFill>
    </fill>
  </fills>
  <borders count="3">
    <border>
      <left/>
      <right/>
      <top/>
      <bottom/>
      <diagonal/>
    </border>
    <border>
      <left style="thin">
        <color rgb="00B7791F"/>
      </left>
      <right style="thin">
        <color rgb="00B7791F"/>
      </right>
      <top style="thin">
        <color rgb="00B7791F"/>
      </top>
      <bottom style="thin">
        <color rgb="00B7791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/>
    </xf>
    <xf numFmtId="1" fontId="0" fillId="4" borderId="1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2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66" fontId="1" fillId="5" borderId="0" applyAlignment="1" pivotButton="0" quotePrefix="0" xfId="0">
      <alignment horizontal="center"/>
    </xf>
    <xf numFmtId="166" fontId="1" fillId="5" borderId="0" pivotButton="0" quotePrefix="0" xfId="0"/>
    <xf numFmtId="166" fontId="0" fillId="0" borderId="2" applyAlignment="1" pivotButton="0" quotePrefix="0" xfId="0">
      <alignment horizontal="right"/>
    </xf>
    <xf numFmtId="166" fontId="0" fillId="4" borderId="1" pivotButton="0" quotePrefix="0" xfId="0"/>
    <xf numFmtId="2" fontId="0" fillId="0" borderId="2" applyAlignment="1" pivotButton="0" quotePrefix="0" xfId="0">
      <alignment horizontal="right"/>
    </xf>
    <xf numFmtId="166" fontId="0" fillId="6" borderId="2" applyAlignment="1" pivotButton="0" quotePrefix="0" xfId="0">
      <alignment horizontal="right"/>
    </xf>
  </cellXfs>
  <cellStyles count="1">
    <cellStyle name="Normal" xfId="0" builtinId="0" hidden="0"/>
  </cellStyles>
  <dxfs count="2">
    <dxf>
      <fill>
        <patternFill patternType="solid">
          <fgColor rgb="00C6F6D5"/>
        </patternFill>
      </fill>
    </dxf>
    <dxf>
      <fill>
        <patternFill patternType="solid">
          <fgColor rgb="00FE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24" customHeight="1">
      <c r="A1" s="1" t="inlineStr">
        <is>
          <t>Temporal LP economics — options-seller model (v5, calibrated + execution costs) — BRAINSTORM / non-core</t>
        </is>
      </c>
    </row>
    <row r="2">
      <c r="A2" s="2" t="inlineStr">
        <is>
          <t>The LP SELLS the perpetual-option book (bands), delta-hedged on HL ⇒ SHORT-VOL. Premium IS the funding (perpetual carry).</t>
        </is>
      </c>
    </row>
    <row r="3">
      <c r="A3" s="2" t="inlineStr">
        <is>
          <t>Edge = carry (priced at the CALIBRATION vol) minus the realized-vol gamma bleed. Profits when realized vol &lt; calibration vol.</t>
        </is>
      </c>
    </row>
    <row r="4">
      <c r="A4" s="3" t="inlineStr"/>
    </row>
    <row r="5">
      <c r="A5" s="4" t="inlineStr">
        <is>
          <t>MODEL (per $ equity, annualized):</t>
        </is>
      </c>
    </row>
    <row r="6">
      <c r="A6" s="3" t="inlineStr">
        <is>
          <t xml:space="preserve">  G = (m*gamma)*(m*gamma+1)/2      lensed gamma factor (m is in it)</t>
        </is>
      </c>
    </row>
    <row r="7">
      <c r="A7" s="3" t="inlineStr">
        <is>
          <t xml:space="preserve">  Carry income   = +LP_leverage*G*sigma_cal^2       (the funding the LP collects)</t>
        </is>
      </c>
    </row>
    <row r="8">
      <c r="A8" s="3" t="inlineStr">
        <is>
          <t xml:space="preserve">  Vol cost       = -LP_leverage*G*RV^2              (the LVR-EQUIVALENT gamma bleed — RISK 1)</t>
        </is>
      </c>
    </row>
    <row r="9">
      <c r="A9" s="3" t="inlineStr">
        <is>
          <t xml:space="preserve">  options_net = Carry + Vol cost = LP_leverage*G*(sigma_cal^2 - RV^2)</t>
        </is>
      </c>
    </row>
    <row r="10">
      <c r="A10" s="2" t="inlineStr">
        <is>
          <t xml:space="preserve">  BASE = options_net + fees - financing - (hedge_exec_cost + order_mgmt_cost)*LP_leverage + LP_leverage*hedge_funding_APR</t>
        </is>
      </c>
    </row>
    <row r="11">
      <c r="A11" s="2" t="inlineStr">
        <is>
          <t xml:space="preserve">  RESTAKED = BASE + HLP_base_APR*(1 - HLP_tail_haircut*RV)</t>
        </is>
      </c>
    </row>
    <row r="12">
      <c r="A12" s="3" t="inlineStr"/>
    </row>
    <row r="13">
      <c r="A13" s="4" t="inlineStr">
        <is>
          <t>THE TWO VOL RISKS (operator entry 496 #4):</t>
        </is>
      </c>
    </row>
    <row r="14">
      <c r="A14" s="3" t="inlineStr">
        <is>
          <t xml:space="preserve">  RISK 1 = the vol cost itself (gamma bleed at realized vol) — the LVR-equivalent, always there.</t>
        </is>
      </c>
    </row>
    <row r="15">
      <c r="A15" s="3" t="inlineStr">
        <is>
          <t xml:space="preserve">  RISK 2 = POOR CALIBRATION — setting sigma_cal too low vs what realizes; then Carry &lt; Vol cost and the LP loses.</t>
        </is>
      </c>
    </row>
    <row r="16">
      <c r="A16" s="3" t="inlineStr">
        <is>
          <t xml:space="preserve">  Both live in options_net = G*(sigma_cal^2 - RV^2): risk 1 is the RV^2 term, risk 2 is choosing sigma_cal wrong.</t>
        </is>
      </c>
    </row>
    <row r="17">
      <c r="A17" s="3" t="inlineStr"/>
    </row>
    <row r="18">
      <c r="A18" s="3" t="inlineStr">
        <is>
          <t>CALIBRATED DEFAULTS (operator entry 496): fee_bps=2.5 (#3), daily_turnover=0.3 (#2, 100% turnover unlikely),</t>
        </is>
      </c>
    </row>
    <row r="19">
      <c r="A19" s="3" t="inlineStr">
        <is>
          <t xml:space="preserve">  hedge_exec_cost=1.0%/yr (#1 imperfect hedge + execution), order_mgmt_cost=0.5%/yr (#5 constant limit placement/updating).</t>
        </is>
      </c>
    </row>
    <row r="20">
      <c r="A20" s="3" t="inlineStr"/>
    </row>
    <row r="21">
      <c r="A21" s="5" t="inlineStr">
        <is>
          <t>STILL OPEN: carry magnitude assumes funding=fair carry (real law=update-2); cost defaults are ESTIMATES; reduced-form, non-core.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98" customWidth="1" min="3" max="3"/>
  </cols>
  <sheetData>
    <row r="1" ht="24" customHeight="1">
      <c r="A1" s="1" t="inlineStr">
        <is>
          <t>EDITABLE ASSUMPTIONS (edit yellow cells)</t>
        </is>
      </c>
    </row>
    <row r="3">
      <c r="A3" s="6" t="inlineStr">
        <is>
          <t>Assumption</t>
        </is>
      </c>
      <c r="B3" s="6" t="inlineStr">
        <is>
          <t>Value</t>
        </is>
      </c>
      <c r="C3" s="6" t="inlineStr">
        <is>
          <t>Disclosure / note</t>
        </is>
      </c>
    </row>
    <row r="4">
      <c r="A4" s="2" t="inlineStr">
        <is>
          <t>days_per_year</t>
        </is>
      </c>
      <c r="B4" s="7" t="n">
        <v>365</v>
      </c>
      <c r="C4" s="8" t="inlineStr">
        <is>
          <t>annualization</t>
        </is>
      </c>
    </row>
    <row r="5">
      <c r="A5" s="2" t="inlineStr">
        <is>
          <t>gamma_curve</t>
        </is>
      </c>
      <c r="B5" s="9" t="n">
        <v>2</v>
      </c>
      <c r="C5" s="8" t="inlineStr">
        <is>
          <t>base gamma of value∝S^(-gamma).</t>
        </is>
      </c>
    </row>
    <row r="6">
      <c r="A6" s="2" t="inlineStr">
        <is>
          <t>m_steepness</t>
        </is>
      </c>
      <c r="B6" s="10" t="n">
        <v>1</v>
      </c>
      <c r="C6" s="8" t="inlineStr">
        <is>
          <t>steepness knob; lensed exponent m*gamma; enters G=(m*gamma)(m*gamma+1)/2.</t>
        </is>
      </c>
    </row>
    <row r="7">
      <c r="A7" s="2" t="inlineStr">
        <is>
          <t>LP_leverage</t>
        </is>
      </c>
      <c r="B7" s="10" t="n">
        <v>1</v>
      </c>
      <c r="C7" s="8" t="inlineStr">
        <is>
          <t>leverage on the Temporal/options side (option value short per $ equity; 1x=unlevered). HLP NOT levered.</t>
        </is>
      </c>
    </row>
    <row r="8">
      <c r="A8" s="2" t="inlineStr">
        <is>
          <t>daily_turnover</t>
        </is>
      </c>
      <c r="B8" s="9" t="n">
        <v>0.3</v>
      </c>
      <c r="C8" s="8" t="inlineStr">
        <is>
          <t>volume/notional per day (entry 496 #2: 100% unlikely; 0.2-0.4x realistic).</t>
        </is>
      </c>
    </row>
    <row r="9">
      <c r="A9" s="2" t="inlineStr">
        <is>
          <t>fee_bps</t>
        </is>
      </c>
      <c r="B9" s="11" t="n">
        <v>2.5</v>
      </c>
      <c r="C9" s="8" t="inlineStr">
        <is>
          <t>taker fee, bps of notional (entry 496 #3: 2.5bps likely).</t>
        </is>
      </c>
    </row>
    <row r="10">
      <c r="A10" s="2" t="inlineStr">
        <is>
          <t>borrow_APR</t>
        </is>
      </c>
      <c r="B10" s="12" t="n">
        <v>0.06</v>
      </c>
      <c r="C10" s="8" t="inlineStr">
        <is>
          <t>financing on the (LP_leverage-1) leg.</t>
        </is>
      </c>
    </row>
    <row r="11">
      <c r="A11" s="2" t="inlineStr">
        <is>
          <t>hedge_exec_cost</t>
        </is>
      </c>
      <c r="B11" s="12" t="n">
        <v>0.01</v>
      </c>
      <c r="C11" s="8" t="inlineStr">
        <is>
          <t>IMPERFECT delta hedge + execution slippage, APR (entry 496 #1). Estimate.</t>
        </is>
      </c>
    </row>
    <row r="12">
      <c r="A12" s="2" t="inlineStr">
        <is>
          <t>order_mgmt_cost</t>
        </is>
      </c>
      <c r="B12" s="12" t="n">
        <v>0.005</v>
      </c>
      <c r="C12" s="8" t="inlineStr">
        <is>
          <t>constant limit-order placement/cancel/update on HL, APR (entry 496 #5). Estimate.</t>
        </is>
      </c>
    </row>
    <row r="13">
      <c r="A13" s="2" t="inlineStr">
        <is>
          <t>hedge_funding_APR</t>
        </is>
      </c>
      <c r="B13" s="12" t="n">
        <v>0</v>
      </c>
      <c r="C13" s="8" t="inlineStr">
        <is>
          <t>funding on the HL hedge legs, +/- (default 0).</t>
        </is>
      </c>
    </row>
    <row r="14">
      <c r="A14" s="2" t="inlineStr">
        <is>
          <t>HLP_base_APR</t>
        </is>
      </c>
      <c r="B14" s="12" t="n">
        <v>0.1</v>
      </c>
      <c r="C14" s="8" t="inlineStr">
        <is>
          <t>yield on HLP margin (additive, NOT levered).</t>
        </is>
      </c>
    </row>
    <row r="15">
      <c r="A15" s="2" t="inlineStr">
        <is>
          <t>HLP_tail_haircut</t>
        </is>
      </c>
      <c r="B15" s="9" t="n">
        <v>0</v>
      </c>
      <c r="C15" s="8" t="inlineStr">
        <is>
          <t>0=pure additive; &gt;0 shaves HLP as RV rises.</t>
        </is>
      </c>
    </row>
    <row r="16">
      <c r="A16" s="2" t="inlineStr">
        <is>
          <t>Grid axes (editable):</t>
        </is>
      </c>
    </row>
    <row r="17">
      <c r="A17" s="5" t="inlineStr">
        <is>
          <t>realized_vol RV (ROWS) -&gt;</t>
        </is>
      </c>
      <c r="B17" s="12" t="n">
        <v>0.2</v>
      </c>
      <c r="C17" s="12" t="n">
        <v>0.4</v>
      </c>
      <c r="D17" s="12" t="n">
        <v>0.6</v>
      </c>
      <c r="E17" s="12" t="n">
        <v>0.8</v>
      </c>
      <c r="F17" s="12" t="n">
        <v>1</v>
      </c>
    </row>
    <row r="18">
      <c r="A18" s="5" t="inlineStr">
        <is>
          <t>sigma_cal calibration vol (COLS) -&gt;</t>
        </is>
      </c>
      <c r="B18" s="12" t="n">
        <v>0.3</v>
      </c>
      <c r="C18" s="12" t="n">
        <v>0.5</v>
      </c>
      <c r="D18" s="12" t="n">
        <v>0.7</v>
      </c>
      <c r="E18" s="12" t="n">
        <v>0.9</v>
      </c>
      <c r="F18" s="12" t="n">
        <v>1.1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REGIME GRID — net LP yield APR. rows=REALIZED vol, cols=CALIBRATION vol. green=profit / red=loss.</t>
        </is>
      </c>
    </row>
    <row r="3">
      <c r="A3" s="4" t="inlineStr">
        <is>
          <t>BASE — options-seller LP net APR (dollar margin).</t>
        </is>
      </c>
    </row>
    <row r="4">
      <c r="A4" s="2" t="inlineStr">
        <is>
          <t>RV \ sigma_cal</t>
        </is>
      </c>
      <c r="B4" s="13">
        <f>Assumptions!B$18</f>
        <v/>
      </c>
      <c r="C4" s="13">
        <f>Assumptions!C$18</f>
        <v/>
      </c>
      <c r="D4" s="13">
        <f>Assumptions!D$18</f>
        <v/>
      </c>
      <c r="E4" s="13">
        <f>Assumptions!E$18</f>
        <v/>
      </c>
      <c r="F4" s="13">
        <f>Assumptions!F$18</f>
        <v/>
      </c>
    </row>
    <row r="5">
      <c r="A5" s="14">
        <f>Assumptions!B$17</f>
        <v/>
      </c>
      <c r="B5" s="15">
        <f>Assumptions!$B$7*((Assumptions!$B$6*Assumptions!$B$5)*((Assumptions!$B$6*Assumptions!$B$5)+1)/2)*((B$4)^2-($A5)^2)-(Assumptions!$B$7-1)*Assumptions!$B$10-(Assumptions!$B$11+Assumptions!$B$12)*Assumptions!$B$7+Assumptions!$B$7*Assumptions!$B$13+Assumptions!$B$9/10000*Assumptions!$B$8*Assumptions!$B$4*Assumptions!$B$7</f>
        <v/>
      </c>
      <c r="C5" s="15">
        <f>Assumptions!$B$7*((Assumptions!$B$6*Assumptions!$B$5)*((Assumptions!$B$6*Assumptions!$B$5)+1)/2)*((C$4)^2-($A5)^2)-(Assumptions!$B$7-1)*Assumptions!$B$10-(Assumptions!$B$11+Assumptions!$B$12)*Assumptions!$B$7+Assumptions!$B$7*Assumptions!$B$13+Assumptions!$B$9/10000*Assumptions!$B$8*Assumptions!$B$4*Assumptions!$B$7</f>
        <v/>
      </c>
      <c r="D5" s="15">
        <f>Assumptions!$B$7*((Assumptions!$B$6*Assumptions!$B$5)*((Assumptions!$B$6*Assumptions!$B$5)+1)/2)*((D$4)^2-($A5)^2)-(Assumptions!$B$7-1)*Assumptions!$B$10-(Assumptions!$B$11+Assumptions!$B$12)*Assumptions!$B$7+Assumptions!$B$7*Assumptions!$B$13+Assumptions!$B$9/10000*Assumptions!$B$8*Assumptions!$B$4*Assumptions!$B$7</f>
        <v/>
      </c>
      <c r="E5" s="15">
        <f>Assumptions!$B$7*((Assumptions!$B$6*Assumptions!$B$5)*((Assumptions!$B$6*Assumptions!$B$5)+1)/2)*((E$4)^2-($A5)^2)-(Assumptions!$B$7-1)*Assumptions!$B$10-(Assumptions!$B$11+Assumptions!$B$12)*Assumptions!$B$7+Assumptions!$B$7*Assumptions!$B$13+Assumptions!$B$9/10000*Assumptions!$B$8*Assumptions!$B$4*Assumptions!$B$7</f>
        <v/>
      </c>
      <c r="F5" s="15">
        <f>Assumptions!$B$7*((Assumptions!$B$6*Assumptions!$B$5)*((Assumptions!$B$6*Assumptions!$B$5)+1)/2)*((F$4)^2-($A5)^2)-(Assumptions!$B$7-1)*Assumptions!$B$10-(Assumptions!$B$11+Assumptions!$B$12)*Assumptions!$B$7+Assumptions!$B$7*Assumptions!$B$13+Assumptions!$B$9/10000*Assumptions!$B$8*Assumptions!$B$4*Assumptions!$B$7</f>
        <v/>
      </c>
    </row>
    <row r="6">
      <c r="A6" s="14">
        <f>Assumptions!C$17</f>
        <v/>
      </c>
      <c r="B6" s="15">
        <f>Assumptions!$B$7*((Assumptions!$B$6*Assumptions!$B$5)*((Assumptions!$B$6*Assumptions!$B$5)+1)/2)*((B$4)^2-($A6)^2)-(Assumptions!$B$7-1)*Assumptions!$B$10-(Assumptions!$B$11+Assumptions!$B$12)*Assumptions!$B$7+Assumptions!$B$7*Assumptions!$B$13+Assumptions!$B$9/10000*Assumptions!$B$8*Assumptions!$B$4*Assumptions!$B$7</f>
        <v/>
      </c>
      <c r="C6" s="15">
        <f>Assumptions!$B$7*((Assumptions!$B$6*Assumptions!$B$5)*((Assumptions!$B$6*Assumptions!$B$5)+1)/2)*((C$4)^2-($A6)^2)-(Assumptions!$B$7-1)*Assumptions!$B$10-(Assumptions!$B$11+Assumptions!$B$12)*Assumptions!$B$7+Assumptions!$B$7*Assumptions!$B$13+Assumptions!$B$9/10000*Assumptions!$B$8*Assumptions!$B$4*Assumptions!$B$7</f>
        <v/>
      </c>
      <c r="D6" s="15">
        <f>Assumptions!$B$7*((Assumptions!$B$6*Assumptions!$B$5)*((Assumptions!$B$6*Assumptions!$B$5)+1)/2)*((D$4)^2-($A6)^2)-(Assumptions!$B$7-1)*Assumptions!$B$10-(Assumptions!$B$11+Assumptions!$B$12)*Assumptions!$B$7+Assumptions!$B$7*Assumptions!$B$13+Assumptions!$B$9/10000*Assumptions!$B$8*Assumptions!$B$4*Assumptions!$B$7</f>
        <v/>
      </c>
      <c r="E6" s="15">
        <f>Assumptions!$B$7*((Assumptions!$B$6*Assumptions!$B$5)*((Assumptions!$B$6*Assumptions!$B$5)+1)/2)*((E$4)^2-($A6)^2)-(Assumptions!$B$7-1)*Assumptions!$B$10-(Assumptions!$B$11+Assumptions!$B$12)*Assumptions!$B$7+Assumptions!$B$7*Assumptions!$B$13+Assumptions!$B$9/10000*Assumptions!$B$8*Assumptions!$B$4*Assumptions!$B$7</f>
        <v/>
      </c>
      <c r="F6" s="15">
        <f>Assumptions!$B$7*((Assumptions!$B$6*Assumptions!$B$5)*((Assumptions!$B$6*Assumptions!$B$5)+1)/2)*((F$4)^2-($A6)^2)-(Assumptions!$B$7-1)*Assumptions!$B$10-(Assumptions!$B$11+Assumptions!$B$12)*Assumptions!$B$7+Assumptions!$B$7*Assumptions!$B$13+Assumptions!$B$9/10000*Assumptions!$B$8*Assumptions!$B$4*Assumptions!$B$7</f>
        <v/>
      </c>
    </row>
    <row r="7">
      <c r="A7" s="14">
        <f>Assumptions!D$17</f>
        <v/>
      </c>
      <c r="B7" s="15">
        <f>Assumptions!$B$7*((Assumptions!$B$6*Assumptions!$B$5)*((Assumptions!$B$6*Assumptions!$B$5)+1)/2)*((B$4)^2-($A7)^2)-(Assumptions!$B$7-1)*Assumptions!$B$10-(Assumptions!$B$11+Assumptions!$B$12)*Assumptions!$B$7+Assumptions!$B$7*Assumptions!$B$13+Assumptions!$B$9/10000*Assumptions!$B$8*Assumptions!$B$4*Assumptions!$B$7</f>
        <v/>
      </c>
      <c r="C7" s="15">
        <f>Assumptions!$B$7*((Assumptions!$B$6*Assumptions!$B$5)*((Assumptions!$B$6*Assumptions!$B$5)+1)/2)*((C$4)^2-($A7)^2)-(Assumptions!$B$7-1)*Assumptions!$B$10-(Assumptions!$B$11+Assumptions!$B$12)*Assumptions!$B$7+Assumptions!$B$7*Assumptions!$B$13+Assumptions!$B$9/10000*Assumptions!$B$8*Assumptions!$B$4*Assumptions!$B$7</f>
        <v/>
      </c>
      <c r="D7" s="15">
        <f>Assumptions!$B$7*((Assumptions!$B$6*Assumptions!$B$5)*((Assumptions!$B$6*Assumptions!$B$5)+1)/2)*((D$4)^2-($A7)^2)-(Assumptions!$B$7-1)*Assumptions!$B$10-(Assumptions!$B$11+Assumptions!$B$12)*Assumptions!$B$7+Assumptions!$B$7*Assumptions!$B$13+Assumptions!$B$9/10000*Assumptions!$B$8*Assumptions!$B$4*Assumptions!$B$7</f>
        <v/>
      </c>
      <c r="E7" s="15">
        <f>Assumptions!$B$7*((Assumptions!$B$6*Assumptions!$B$5)*((Assumptions!$B$6*Assumptions!$B$5)+1)/2)*((E$4)^2-($A7)^2)-(Assumptions!$B$7-1)*Assumptions!$B$10-(Assumptions!$B$11+Assumptions!$B$12)*Assumptions!$B$7+Assumptions!$B$7*Assumptions!$B$13+Assumptions!$B$9/10000*Assumptions!$B$8*Assumptions!$B$4*Assumptions!$B$7</f>
        <v/>
      </c>
      <c r="F7" s="15">
        <f>Assumptions!$B$7*((Assumptions!$B$6*Assumptions!$B$5)*((Assumptions!$B$6*Assumptions!$B$5)+1)/2)*((F$4)^2-($A7)^2)-(Assumptions!$B$7-1)*Assumptions!$B$10-(Assumptions!$B$11+Assumptions!$B$12)*Assumptions!$B$7+Assumptions!$B$7*Assumptions!$B$13+Assumptions!$B$9/10000*Assumptions!$B$8*Assumptions!$B$4*Assumptions!$B$7</f>
        <v/>
      </c>
    </row>
    <row r="8">
      <c r="A8" s="14">
        <f>Assumptions!E$17</f>
        <v/>
      </c>
      <c r="B8" s="15">
        <f>Assumptions!$B$7*((Assumptions!$B$6*Assumptions!$B$5)*((Assumptions!$B$6*Assumptions!$B$5)+1)/2)*((B$4)^2-($A8)^2)-(Assumptions!$B$7-1)*Assumptions!$B$10-(Assumptions!$B$11+Assumptions!$B$12)*Assumptions!$B$7+Assumptions!$B$7*Assumptions!$B$13+Assumptions!$B$9/10000*Assumptions!$B$8*Assumptions!$B$4*Assumptions!$B$7</f>
        <v/>
      </c>
      <c r="C8" s="15">
        <f>Assumptions!$B$7*((Assumptions!$B$6*Assumptions!$B$5)*((Assumptions!$B$6*Assumptions!$B$5)+1)/2)*((C$4)^2-($A8)^2)-(Assumptions!$B$7-1)*Assumptions!$B$10-(Assumptions!$B$11+Assumptions!$B$12)*Assumptions!$B$7+Assumptions!$B$7*Assumptions!$B$13+Assumptions!$B$9/10000*Assumptions!$B$8*Assumptions!$B$4*Assumptions!$B$7</f>
        <v/>
      </c>
      <c r="D8" s="15">
        <f>Assumptions!$B$7*((Assumptions!$B$6*Assumptions!$B$5)*((Assumptions!$B$6*Assumptions!$B$5)+1)/2)*((D$4)^2-($A8)^2)-(Assumptions!$B$7-1)*Assumptions!$B$10-(Assumptions!$B$11+Assumptions!$B$12)*Assumptions!$B$7+Assumptions!$B$7*Assumptions!$B$13+Assumptions!$B$9/10000*Assumptions!$B$8*Assumptions!$B$4*Assumptions!$B$7</f>
        <v/>
      </c>
      <c r="E8" s="15">
        <f>Assumptions!$B$7*((Assumptions!$B$6*Assumptions!$B$5)*((Assumptions!$B$6*Assumptions!$B$5)+1)/2)*((E$4)^2-($A8)^2)-(Assumptions!$B$7-1)*Assumptions!$B$10-(Assumptions!$B$11+Assumptions!$B$12)*Assumptions!$B$7+Assumptions!$B$7*Assumptions!$B$13+Assumptions!$B$9/10000*Assumptions!$B$8*Assumptions!$B$4*Assumptions!$B$7</f>
        <v/>
      </c>
      <c r="F8" s="15">
        <f>Assumptions!$B$7*((Assumptions!$B$6*Assumptions!$B$5)*((Assumptions!$B$6*Assumptions!$B$5)+1)/2)*((F$4)^2-($A8)^2)-(Assumptions!$B$7-1)*Assumptions!$B$10-(Assumptions!$B$11+Assumptions!$B$12)*Assumptions!$B$7+Assumptions!$B$7*Assumptions!$B$13+Assumptions!$B$9/10000*Assumptions!$B$8*Assumptions!$B$4*Assumptions!$B$7</f>
        <v/>
      </c>
    </row>
    <row r="9">
      <c r="A9" s="14">
        <f>Assumptions!F$17</f>
        <v/>
      </c>
      <c r="B9" s="15">
        <f>Assumptions!$B$7*((Assumptions!$B$6*Assumptions!$B$5)*((Assumptions!$B$6*Assumptions!$B$5)+1)/2)*((B$4)^2-($A9)^2)-(Assumptions!$B$7-1)*Assumptions!$B$10-(Assumptions!$B$11+Assumptions!$B$12)*Assumptions!$B$7+Assumptions!$B$7*Assumptions!$B$13+Assumptions!$B$9/10000*Assumptions!$B$8*Assumptions!$B$4*Assumptions!$B$7</f>
        <v/>
      </c>
      <c r="C9" s="15">
        <f>Assumptions!$B$7*((Assumptions!$B$6*Assumptions!$B$5)*((Assumptions!$B$6*Assumptions!$B$5)+1)/2)*((C$4)^2-($A9)^2)-(Assumptions!$B$7-1)*Assumptions!$B$10-(Assumptions!$B$11+Assumptions!$B$12)*Assumptions!$B$7+Assumptions!$B$7*Assumptions!$B$13+Assumptions!$B$9/10000*Assumptions!$B$8*Assumptions!$B$4*Assumptions!$B$7</f>
        <v/>
      </c>
      <c r="D9" s="15">
        <f>Assumptions!$B$7*((Assumptions!$B$6*Assumptions!$B$5)*((Assumptions!$B$6*Assumptions!$B$5)+1)/2)*((D$4)^2-($A9)^2)-(Assumptions!$B$7-1)*Assumptions!$B$10-(Assumptions!$B$11+Assumptions!$B$12)*Assumptions!$B$7+Assumptions!$B$7*Assumptions!$B$13+Assumptions!$B$9/10000*Assumptions!$B$8*Assumptions!$B$4*Assumptions!$B$7</f>
        <v/>
      </c>
      <c r="E9" s="15">
        <f>Assumptions!$B$7*((Assumptions!$B$6*Assumptions!$B$5)*((Assumptions!$B$6*Assumptions!$B$5)+1)/2)*((E$4)^2-($A9)^2)-(Assumptions!$B$7-1)*Assumptions!$B$10-(Assumptions!$B$11+Assumptions!$B$12)*Assumptions!$B$7+Assumptions!$B$7*Assumptions!$B$13+Assumptions!$B$9/10000*Assumptions!$B$8*Assumptions!$B$4*Assumptions!$B$7</f>
        <v/>
      </c>
      <c r="F9" s="15">
        <f>Assumptions!$B$7*((Assumptions!$B$6*Assumptions!$B$5)*((Assumptions!$B$6*Assumptions!$B$5)+1)/2)*((F$4)^2-($A9)^2)-(Assumptions!$B$7-1)*Assumptions!$B$10-(Assumptions!$B$11+Assumptions!$B$12)*Assumptions!$B$7+Assumptions!$B$7*Assumptions!$B$13+Assumptions!$B$9/10000*Assumptions!$B$8*Assumptions!$B$4*Assumptions!$B$7</f>
        <v/>
      </c>
    </row>
    <row r="12">
      <c r="A12" s="4" t="inlineStr">
        <is>
          <t>RESTAKED — + HLP margin.</t>
        </is>
      </c>
    </row>
    <row r="13">
      <c r="A13" s="2" t="inlineStr">
        <is>
          <t>RV \ sigma_cal</t>
        </is>
      </c>
      <c r="B13" s="13">
        <f>Assumptions!B$18</f>
        <v/>
      </c>
      <c r="C13" s="13">
        <f>Assumptions!C$18</f>
        <v/>
      </c>
      <c r="D13" s="13">
        <f>Assumptions!D$18</f>
        <v/>
      </c>
      <c r="E13" s="13">
        <f>Assumptions!E$18</f>
        <v/>
      </c>
      <c r="F13" s="13">
        <f>Assumptions!F$18</f>
        <v/>
      </c>
    </row>
    <row r="14">
      <c r="A14" s="14">
        <f>Assumptions!B$17</f>
        <v/>
      </c>
      <c r="B14" s="15">
        <f>(Assumptions!$B$7*((Assumptions!$B$6*Assumptions!$B$5)*((Assumptions!$B$6*Assumptions!$B$5)+1)/2)*((B$13)^2-($A14)^2)-(Assumptions!$B$7-1)*Assumptions!$B$10-(Assumptions!$B$11+Assumptions!$B$12)*Assumptions!$B$7+Assumptions!$B$7*Assumptions!$B$13+Assumptions!$B$9/10000*Assumptions!$B$8*Assumptions!$B$4*Assumptions!$B$7)+Assumptions!$B$14*(1-Assumptions!$B$15*$A14)</f>
        <v/>
      </c>
      <c r="C14" s="15">
        <f>(Assumptions!$B$7*((Assumptions!$B$6*Assumptions!$B$5)*((Assumptions!$B$6*Assumptions!$B$5)+1)/2)*((C$13)^2-($A14)^2)-(Assumptions!$B$7-1)*Assumptions!$B$10-(Assumptions!$B$11+Assumptions!$B$12)*Assumptions!$B$7+Assumptions!$B$7*Assumptions!$B$13+Assumptions!$B$9/10000*Assumptions!$B$8*Assumptions!$B$4*Assumptions!$B$7)+Assumptions!$B$14*(1-Assumptions!$B$15*$A14)</f>
        <v/>
      </c>
      <c r="D14" s="15">
        <f>(Assumptions!$B$7*((Assumptions!$B$6*Assumptions!$B$5)*((Assumptions!$B$6*Assumptions!$B$5)+1)/2)*((D$13)^2-($A14)^2)-(Assumptions!$B$7-1)*Assumptions!$B$10-(Assumptions!$B$11+Assumptions!$B$12)*Assumptions!$B$7+Assumptions!$B$7*Assumptions!$B$13+Assumptions!$B$9/10000*Assumptions!$B$8*Assumptions!$B$4*Assumptions!$B$7)+Assumptions!$B$14*(1-Assumptions!$B$15*$A14)</f>
        <v/>
      </c>
      <c r="E14" s="15">
        <f>(Assumptions!$B$7*((Assumptions!$B$6*Assumptions!$B$5)*((Assumptions!$B$6*Assumptions!$B$5)+1)/2)*((E$13)^2-($A14)^2)-(Assumptions!$B$7-1)*Assumptions!$B$10-(Assumptions!$B$11+Assumptions!$B$12)*Assumptions!$B$7+Assumptions!$B$7*Assumptions!$B$13+Assumptions!$B$9/10000*Assumptions!$B$8*Assumptions!$B$4*Assumptions!$B$7)+Assumptions!$B$14*(1-Assumptions!$B$15*$A14)</f>
        <v/>
      </c>
      <c r="F14" s="15">
        <f>(Assumptions!$B$7*((Assumptions!$B$6*Assumptions!$B$5)*((Assumptions!$B$6*Assumptions!$B$5)+1)/2)*((F$13)^2-($A14)^2)-(Assumptions!$B$7-1)*Assumptions!$B$10-(Assumptions!$B$11+Assumptions!$B$12)*Assumptions!$B$7+Assumptions!$B$7*Assumptions!$B$13+Assumptions!$B$9/10000*Assumptions!$B$8*Assumptions!$B$4*Assumptions!$B$7)+Assumptions!$B$14*(1-Assumptions!$B$15*$A14)</f>
        <v/>
      </c>
    </row>
    <row r="15">
      <c r="A15" s="14">
        <f>Assumptions!C$17</f>
        <v/>
      </c>
      <c r="B15" s="15">
        <f>(Assumptions!$B$7*((Assumptions!$B$6*Assumptions!$B$5)*((Assumptions!$B$6*Assumptions!$B$5)+1)/2)*((B$13)^2-($A15)^2)-(Assumptions!$B$7-1)*Assumptions!$B$10-(Assumptions!$B$11+Assumptions!$B$12)*Assumptions!$B$7+Assumptions!$B$7*Assumptions!$B$13+Assumptions!$B$9/10000*Assumptions!$B$8*Assumptions!$B$4*Assumptions!$B$7)+Assumptions!$B$14*(1-Assumptions!$B$15*$A15)</f>
        <v/>
      </c>
      <c r="C15" s="15">
        <f>(Assumptions!$B$7*((Assumptions!$B$6*Assumptions!$B$5)*((Assumptions!$B$6*Assumptions!$B$5)+1)/2)*((C$13)^2-($A15)^2)-(Assumptions!$B$7-1)*Assumptions!$B$10-(Assumptions!$B$11+Assumptions!$B$12)*Assumptions!$B$7+Assumptions!$B$7*Assumptions!$B$13+Assumptions!$B$9/10000*Assumptions!$B$8*Assumptions!$B$4*Assumptions!$B$7)+Assumptions!$B$14*(1-Assumptions!$B$15*$A15)</f>
        <v/>
      </c>
      <c r="D15" s="15">
        <f>(Assumptions!$B$7*((Assumptions!$B$6*Assumptions!$B$5)*((Assumptions!$B$6*Assumptions!$B$5)+1)/2)*((D$13)^2-($A15)^2)-(Assumptions!$B$7-1)*Assumptions!$B$10-(Assumptions!$B$11+Assumptions!$B$12)*Assumptions!$B$7+Assumptions!$B$7*Assumptions!$B$13+Assumptions!$B$9/10000*Assumptions!$B$8*Assumptions!$B$4*Assumptions!$B$7)+Assumptions!$B$14*(1-Assumptions!$B$15*$A15)</f>
        <v/>
      </c>
      <c r="E15" s="15">
        <f>(Assumptions!$B$7*((Assumptions!$B$6*Assumptions!$B$5)*((Assumptions!$B$6*Assumptions!$B$5)+1)/2)*((E$13)^2-($A15)^2)-(Assumptions!$B$7-1)*Assumptions!$B$10-(Assumptions!$B$11+Assumptions!$B$12)*Assumptions!$B$7+Assumptions!$B$7*Assumptions!$B$13+Assumptions!$B$9/10000*Assumptions!$B$8*Assumptions!$B$4*Assumptions!$B$7)+Assumptions!$B$14*(1-Assumptions!$B$15*$A15)</f>
        <v/>
      </c>
      <c r="F15" s="15">
        <f>(Assumptions!$B$7*((Assumptions!$B$6*Assumptions!$B$5)*((Assumptions!$B$6*Assumptions!$B$5)+1)/2)*((F$13)^2-($A15)^2)-(Assumptions!$B$7-1)*Assumptions!$B$10-(Assumptions!$B$11+Assumptions!$B$12)*Assumptions!$B$7+Assumptions!$B$7*Assumptions!$B$13+Assumptions!$B$9/10000*Assumptions!$B$8*Assumptions!$B$4*Assumptions!$B$7)+Assumptions!$B$14*(1-Assumptions!$B$15*$A15)</f>
        <v/>
      </c>
    </row>
    <row r="16">
      <c r="A16" s="14">
        <f>Assumptions!D$17</f>
        <v/>
      </c>
      <c r="B16" s="15">
        <f>(Assumptions!$B$7*((Assumptions!$B$6*Assumptions!$B$5)*((Assumptions!$B$6*Assumptions!$B$5)+1)/2)*((B$13)^2-($A16)^2)-(Assumptions!$B$7-1)*Assumptions!$B$10-(Assumptions!$B$11+Assumptions!$B$12)*Assumptions!$B$7+Assumptions!$B$7*Assumptions!$B$13+Assumptions!$B$9/10000*Assumptions!$B$8*Assumptions!$B$4*Assumptions!$B$7)+Assumptions!$B$14*(1-Assumptions!$B$15*$A16)</f>
        <v/>
      </c>
      <c r="C16" s="15">
        <f>(Assumptions!$B$7*((Assumptions!$B$6*Assumptions!$B$5)*((Assumptions!$B$6*Assumptions!$B$5)+1)/2)*((C$13)^2-($A16)^2)-(Assumptions!$B$7-1)*Assumptions!$B$10-(Assumptions!$B$11+Assumptions!$B$12)*Assumptions!$B$7+Assumptions!$B$7*Assumptions!$B$13+Assumptions!$B$9/10000*Assumptions!$B$8*Assumptions!$B$4*Assumptions!$B$7)+Assumptions!$B$14*(1-Assumptions!$B$15*$A16)</f>
        <v/>
      </c>
      <c r="D16" s="15">
        <f>(Assumptions!$B$7*((Assumptions!$B$6*Assumptions!$B$5)*((Assumptions!$B$6*Assumptions!$B$5)+1)/2)*((D$13)^2-($A16)^2)-(Assumptions!$B$7-1)*Assumptions!$B$10-(Assumptions!$B$11+Assumptions!$B$12)*Assumptions!$B$7+Assumptions!$B$7*Assumptions!$B$13+Assumptions!$B$9/10000*Assumptions!$B$8*Assumptions!$B$4*Assumptions!$B$7)+Assumptions!$B$14*(1-Assumptions!$B$15*$A16)</f>
        <v/>
      </c>
      <c r="E16" s="15">
        <f>(Assumptions!$B$7*((Assumptions!$B$6*Assumptions!$B$5)*((Assumptions!$B$6*Assumptions!$B$5)+1)/2)*((E$13)^2-($A16)^2)-(Assumptions!$B$7-1)*Assumptions!$B$10-(Assumptions!$B$11+Assumptions!$B$12)*Assumptions!$B$7+Assumptions!$B$7*Assumptions!$B$13+Assumptions!$B$9/10000*Assumptions!$B$8*Assumptions!$B$4*Assumptions!$B$7)+Assumptions!$B$14*(1-Assumptions!$B$15*$A16)</f>
        <v/>
      </c>
      <c r="F16" s="15">
        <f>(Assumptions!$B$7*((Assumptions!$B$6*Assumptions!$B$5)*((Assumptions!$B$6*Assumptions!$B$5)+1)/2)*((F$13)^2-($A16)^2)-(Assumptions!$B$7-1)*Assumptions!$B$10-(Assumptions!$B$11+Assumptions!$B$12)*Assumptions!$B$7+Assumptions!$B$7*Assumptions!$B$13+Assumptions!$B$9/10000*Assumptions!$B$8*Assumptions!$B$4*Assumptions!$B$7)+Assumptions!$B$14*(1-Assumptions!$B$15*$A16)</f>
        <v/>
      </c>
    </row>
    <row r="17">
      <c r="A17" s="14">
        <f>Assumptions!E$17</f>
        <v/>
      </c>
      <c r="B17" s="15">
        <f>(Assumptions!$B$7*((Assumptions!$B$6*Assumptions!$B$5)*((Assumptions!$B$6*Assumptions!$B$5)+1)/2)*((B$13)^2-($A17)^2)-(Assumptions!$B$7-1)*Assumptions!$B$10-(Assumptions!$B$11+Assumptions!$B$12)*Assumptions!$B$7+Assumptions!$B$7*Assumptions!$B$13+Assumptions!$B$9/10000*Assumptions!$B$8*Assumptions!$B$4*Assumptions!$B$7)+Assumptions!$B$14*(1-Assumptions!$B$15*$A17)</f>
        <v/>
      </c>
      <c r="C17" s="15">
        <f>(Assumptions!$B$7*((Assumptions!$B$6*Assumptions!$B$5)*((Assumptions!$B$6*Assumptions!$B$5)+1)/2)*((C$13)^2-($A17)^2)-(Assumptions!$B$7-1)*Assumptions!$B$10-(Assumptions!$B$11+Assumptions!$B$12)*Assumptions!$B$7+Assumptions!$B$7*Assumptions!$B$13+Assumptions!$B$9/10000*Assumptions!$B$8*Assumptions!$B$4*Assumptions!$B$7)+Assumptions!$B$14*(1-Assumptions!$B$15*$A17)</f>
        <v/>
      </c>
      <c r="D17" s="15">
        <f>(Assumptions!$B$7*((Assumptions!$B$6*Assumptions!$B$5)*((Assumptions!$B$6*Assumptions!$B$5)+1)/2)*((D$13)^2-($A17)^2)-(Assumptions!$B$7-1)*Assumptions!$B$10-(Assumptions!$B$11+Assumptions!$B$12)*Assumptions!$B$7+Assumptions!$B$7*Assumptions!$B$13+Assumptions!$B$9/10000*Assumptions!$B$8*Assumptions!$B$4*Assumptions!$B$7)+Assumptions!$B$14*(1-Assumptions!$B$15*$A17)</f>
        <v/>
      </c>
      <c r="E17" s="15">
        <f>(Assumptions!$B$7*((Assumptions!$B$6*Assumptions!$B$5)*((Assumptions!$B$6*Assumptions!$B$5)+1)/2)*((E$13)^2-($A17)^2)-(Assumptions!$B$7-1)*Assumptions!$B$10-(Assumptions!$B$11+Assumptions!$B$12)*Assumptions!$B$7+Assumptions!$B$7*Assumptions!$B$13+Assumptions!$B$9/10000*Assumptions!$B$8*Assumptions!$B$4*Assumptions!$B$7)+Assumptions!$B$14*(1-Assumptions!$B$15*$A17)</f>
        <v/>
      </c>
      <c r="F17" s="15">
        <f>(Assumptions!$B$7*((Assumptions!$B$6*Assumptions!$B$5)*((Assumptions!$B$6*Assumptions!$B$5)+1)/2)*((F$13)^2-($A17)^2)-(Assumptions!$B$7-1)*Assumptions!$B$10-(Assumptions!$B$11+Assumptions!$B$12)*Assumptions!$B$7+Assumptions!$B$7*Assumptions!$B$13+Assumptions!$B$9/10000*Assumptions!$B$8*Assumptions!$B$4*Assumptions!$B$7)+Assumptions!$B$14*(1-Assumptions!$B$15*$A17)</f>
        <v/>
      </c>
    </row>
    <row r="18">
      <c r="A18" s="14">
        <f>Assumptions!F$17</f>
        <v/>
      </c>
      <c r="B18" s="15">
        <f>(Assumptions!$B$7*((Assumptions!$B$6*Assumptions!$B$5)*((Assumptions!$B$6*Assumptions!$B$5)+1)/2)*((B$13)^2-($A18)^2)-(Assumptions!$B$7-1)*Assumptions!$B$10-(Assumptions!$B$11+Assumptions!$B$12)*Assumptions!$B$7+Assumptions!$B$7*Assumptions!$B$13+Assumptions!$B$9/10000*Assumptions!$B$8*Assumptions!$B$4*Assumptions!$B$7)+Assumptions!$B$14*(1-Assumptions!$B$15*$A18)</f>
        <v/>
      </c>
      <c r="C18" s="15">
        <f>(Assumptions!$B$7*((Assumptions!$B$6*Assumptions!$B$5)*((Assumptions!$B$6*Assumptions!$B$5)+1)/2)*((C$13)^2-($A18)^2)-(Assumptions!$B$7-1)*Assumptions!$B$10-(Assumptions!$B$11+Assumptions!$B$12)*Assumptions!$B$7+Assumptions!$B$7*Assumptions!$B$13+Assumptions!$B$9/10000*Assumptions!$B$8*Assumptions!$B$4*Assumptions!$B$7)+Assumptions!$B$14*(1-Assumptions!$B$15*$A18)</f>
        <v/>
      </c>
      <c r="D18" s="15">
        <f>(Assumptions!$B$7*((Assumptions!$B$6*Assumptions!$B$5)*((Assumptions!$B$6*Assumptions!$B$5)+1)/2)*((D$13)^2-($A18)^2)-(Assumptions!$B$7-1)*Assumptions!$B$10-(Assumptions!$B$11+Assumptions!$B$12)*Assumptions!$B$7+Assumptions!$B$7*Assumptions!$B$13+Assumptions!$B$9/10000*Assumptions!$B$8*Assumptions!$B$4*Assumptions!$B$7)+Assumptions!$B$14*(1-Assumptions!$B$15*$A18)</f>
        <v/>
      </c>
      <c r="E18" s="15">
        <f>(Assumptions!$B$7*((Assumptions!$B$6*Assumptions!$B$5)*((Assumptions!$B$6*Assumptions!$B$5)+1)/2)*((E$13)^2-($A18)^2)-(Assumptions!$B$7-1)*Assumptions!$B$10-(Assumptions!$B$11+Assumptions!$B$12)*Assumptions!$B$7+Assumptions!$B$7*Assumptions!$B$13+Assumptions!$B$9/10000*Assumptions!$B$8*Assumptions!$B$4*Assumptions!$B$7)+Assumptions!$B$14*(1-Assumptions!$B$15*$A18)</f>
        <v/>
      </c>
      <c r="F18" s="15">
        <f>(Assumptions!$B$7*((Assumptions!$B$6*Assumptions!$B$5)*((Assumptions!$B$6*Assumptions!$B$5)+1)/2)*((F$13)^2-($A18)^2)-(Assumptions!$B$7-1)*Assumptions!$B$10-(Assumptions!$B$11+Assumptions!$B$12)*Assumptions!$B$7+Assumptions!$B$7*Assumptions!$B$13+Assumptions!$B$9/10000*Assumptions!$B$8*Assumptions!$B$4*Assumptions!$B$7)+Assumptions!$B$14*(1-Assumptions!$B$15*$A18)</f>
        <v/>
      </c>
    </row>
    <row r="21">
      <c r="A21" s="5" t="inlineStr">
        <is>
          <t>Green where calibration vol &gt; realized vol (calmer than priced); red in spikes / poor calibration. m amplifies both.</t>
        </is>
      </c>
    </row>
  </sheetData>
  <mergeCells count="1">
    <mergeCell ref="A1:F1"/>
  </mergeCells>
  <conditionalFormatting sqref="B5:F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4:F18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42" customWidth="1" min="3" max="3"/>
  </cols>
  <sheetData>
    <row r="1" ht="24" customHeight="1">
      <c r="A1" s="1" t="inlineStr">
        <is>
          <t>SINGLE-SCENARIO BREAKDOWN (edit yellow: RV, sigma_cal)</t>
        </is>
      </c>
    </row>
    <row r="3">
      <c r="A3" s="2" t="inlineStr">
        <is>
          <t>realized_vol RV</t>
        </is>
      </c>
      <c r="B3" s="16" t="n">
        <v>0.6</v>
      </c>
    </row>
    <row r="4">
      <c r="A4" s="2" t="inlineStr">
        <is>
          <t>sigma_cal (calibration vol)</t>
        </is>
      </c>
      <c r="B4" s="16" t="n">
        <v>0.7</v>
      </c>
    </row>
    <row r="6">
      <c r="A6" s="2" t="inlineStr">
        <is>
          <t>G = (m*gamma)(m*gamma+1)/2</t>
        </is>
      </c>
      <c r="B6" s="17">
        <f>((Assumptions!$B$6*Assumptions!$B$5)*((Assumptions!$B$6*Assumptions!$B$5)+1)/2)</f>
        <v/>
      </c>
    </row>
    <row r="7">
      <c r="A7" s="2" t="inlineStr">
        <is>
          <t>Carry income (+, at sigma_cal)</t>
        </is>
      </c>
      <c r="B7" s="15">
        <f>Assumptions!$B$7*((Assumptions!$B$6*Assumptions!$B$5)*((Assumptions!$B$6*Assumptions!$B$5)+1)/2)*$B$4^2</f>
        <v/>
      </c>
    </row>
    <row r="8">
      <c r="A8" s="2" t="inlineStr">
        <is>
          <t>Vol cost / gamma bleed (LVR-equiv, RISK 1)</t>
        </is>
      </c>
      <c r="B8" s="15">
        <f>-Assumptions!$B$7*((Assumptions!$B$6*Assumptions!$B$5)*((Assumptions!$B$6*Assumptions!$B$5)+1)/2)*$B$3^2</f>
        <v/>
      </c>
    </row>
    <row r="9">
      <c r="A9" s="2" t="inlineStr">
        <is>
          <t xml:space="preserve">  options_net (carry + vol cost)</t>
        </is>
      </c>
      <c r="B9" s="15">
        <f>Assumptions!$B$7*((Assumptions!$B$6*Assumptions!$B$5)*((Assumptions!$B$6*Assumptions!$B$5)+1)/2)*($B$4^2-$B$3^2)</f>
        <v/>
      </c>
    </row>
    <row r="10">
      <c r="A10" s="2" t="inlineStr">
        <is>
          <t>Fee income</t>
        </is>
      </c>
      <c r="B10" s="15">
        <f>Assumptions!$B$9/10000*Assumptions!$B$8*Assumptions!$B$4*Assumptions!$B$7</f>
        <v/>
      </c>
    </row>
    <row r="11">
      <c r="A11" s="2" t="inlineStr">
        <is>
          <t>Financing</t>
        </is>
      </c>
      <c r="B11" s="15">
        <f>-(Assumptions!$B$7-1)*Assumptions!$B$10</f>
        <v/>
      </c>
    </row>
    <row r="12">
      <c r="A12" s="2" t="inlineStr">
        <is>
          <t>Hedge+exec+order-mgmt cost</t>
        </is>
      </c>
      <c r="B12" s="18">
        <f>-(Assumptions!$B$11+Assumptions!$B$12)*Assumptions!$B$7+Assumptions!$B$7*Assumptions!$B$13</f>
        <v/>
      </c>
    </row>
    <row r="13">
      <c r="A13" s="2" t="inlineStr">
        <is>
          <t>BASE net (dollar margin)</t>
        </is>
      </c>
      <c r="B13" s="15">
        <f>B8+B9+B10+B11</f>
        <v/>
      </c>
    </row>
    <row r="14">
      <c r="A14" s="2" t="inlineStr">
        <is>
          <t>HLP layer</t>
        </is>
      </c>
      <c r="B14" s="18">
        <f>Assumptions!$B$14*(1-Assumptions!$B$15*$B$3)</f>
        <v/>
      </c>
    </row>
    <row r="15">
      <c r="A15" s="2" t="inlineStr">
        <is>
          <t>RESTAKED net (HLP margin)</t>
        </is>
      </c>
      <c r="B15" s="15">
        <f>B12+B13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2026-07-17T12:14:51Z</dcterms:created>
  <dcterms:modified xsi:type="dcterms:W3CDTF">2026-07-17T12:14:51Z</dcterms:modified>
</cp:coreProperties>
</file>