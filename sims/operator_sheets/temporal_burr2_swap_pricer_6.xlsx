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" sheetId="1" state="visible" r:id="rId3"/>
  </sheets>
  <definedNames>
    <definedName function="false" hidden="false" name="ATMp" vbProcedure="false">Trade!$B$23</definedName>
    <definedName function="false" hidden="false" name="ATMpA" vbProcedure="false">Trade!$C$23</definedName>
    <definedName function="false" hidden="false" name="ATMq" vbProcedure="false">Trade!$B$87</definedName>
    <definedName function="false" hidden="false" name="Bfn" vbProcedure="false">Trade!$B$13</definedName>
    <definedName function="false" hidden="false" name="C0_" vbProcedure="false">Trade!$B$85</definedName>
    <definedName function="false" hidden="false" name="fee" vbProcedure="false">Trade!$B$12</definedName>
    <definedName function="false" hidden="false" name="G1A_" vbProcedure="false">Trade!$C$17</definedName>
    <definedName function="false" hidden="false" name="G1_" vbProcedure="false">Trade!$B$17</definedName>
    <definedName function="false" hidden="false" name="I1A_" vbProcedure="false">Trade!$C$18</definedName>
    <definedName function="false" hidden="false" name="I1_" vbProcedure="false">Trade!$B$18</definedName>
    <definedName function="false" hidden="false" name="kap0" vbProcedure="false">Trade!$B$14</definedName>
    <definedName function="false" hidden="false" name="kapA" vbProcedure="false">Trade!$C$14</definedName>
    <definedName function="false" hidden="false" name="lam" vbProcedure="false">Trade!$B$11</definedName>
    <definedName function="false" hidden="false" name="N_" vbProcedure="false">Trade!$B$10</definedName>
    <definedName function="false" hidden="false" name="P0_" vbProcedure="false">Trade!$B$86</definedName>
    <definedName function="false" hidden="false" name="PrBI" vbProcedure="false">Trade!$B$58</definedName>
    <definedName function="false" hidden="false" name="PrBIC" vbProcedure="false">Trade!$B$56</definedName>
    <definedName function="false" hidden="false" name="PrBIP" vbProcedure="false">Trade!$B$57</definedName>
    <definedName function="false" hidden="false" name="PrBIu" vbProcedure="false">Trade!$B$54</definedName>
    <definedName function="false" hidden="false" name="PrBIv" vbProcedure="false">Trade!$B$55</definedName>
    <definedName function="false" hidden="false" name="PrBO" vbProcedure="false">Trade!$B$63</definedName>
    <definedName function="false" hidden="false" name="PrBOC" vbProcedure="false">Trade!$B$61</definedName>
    <definedName function="false" hidden="false" name="PrBOP" vbProcedure="false">Trade!$B$62</definedName>
    <definedName function="false" hidden="false" name="PrBOu" vbProcedure="false">Trade!$B$59</definedName>
    <definedName function="false" hidden="false" name="PrBOv" vbProcedure="false">Trade!$B$60</definedName>
    <definedName function="false" hidden="false" name="PrSI" vbProcedure="false">Trade!$B$48</definedName>
    <definedName function="false" hidden="false" name="PrSIC" vbProcedure="false">Trade!$B$46</definedName>
    <definedName function="false" hidden="false" name="PrSIP" vbProcedure="false">Trade!$B$47</definedName>
    <definedName function="false" hidden="false" name="PrSIu" vbProcedure="false">Trade!$B$44</definedName>
    <definedName function="false" hidden="false" name="PrSIv" vbProcedure="false">Trade!$B$45</definedName>
    <definedName function="false" hidden="false" name="PrSO" vbProcedure="false">Trade!$B$53</definedName>
    <definedName function="false" hidden="false" name="PrSOC" vbProcedure="false">Trade!$B$51</definedName>
    <definedName function="false" hidden="false" name="PrSOP" vbProcedure="false">Trade!$B$52</definedName>
    <definedName function="false" hidden="false" name="PrSOu" vbProcedure="false">Trade!$B$49</definedName>
    <definedName function="false" hidden="false" name="PrSOv" vbProcedure="false">Trade!$B$50</definedName>
    <definedName function="false" hidden="false" name="Q0_" vbProcedure="false">Trade!$B$66</definedName>
    <definedName function="false" hidden="false" name="qL" vbProcedure="false">Trade!$B$22</definedName>
    <definedName function="false" hidden="false" name="qLA" vbProcedure="false">Trade!$C$22</definedName>
    <definedName function="false" hidden="false" name="qR" vbProcedure="false">Trade!$B$21</definedName>
    <definedName function="false" hidden="false" name="qRA" vbProcedure="false">Trade!$C$21</definedName>
    <definedName function="false" hidden="false" name="sL" vbProcedure="false">Trade!$B$16</definedName>
    <definedName function="false" hidden="false" name="sLA" vbProcedure="false">Trade!$C$16</definedName>
    <definedName function="false" hidden="false" name="sR" vbProcedure="false">Trade!$B$15</definedName>
    <definedName function="false" hidden="false" name="sRA" vbProcedure="false">Trade!$C$15</definedName>
    <definedName function="false" hidden="false" name="WL" vbProcedure="false">Trade!$B$20</definedName>
    <definedName function="false" hidden="false" name="WLA" vbProcedure="false">Trade!$C$20</definedName>
    <definedName function="false" hidden="false" name="WR" vbProcedure="false">Trade!$B$19</definedName>
    <definedName function="false" hidden="false" name="WRA" vbProcedure="false">Trade!$C$19</definedName>
    <definedName function="false" hidden="false" name="Xb" vbProcedure="false">Trade!$B$65</definedName>
    <definedName function="false" hidden="false" name="Xs" vbProcedure="false">Trade!$B$64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<sst xmlns="http://schemas.openxmlformats.org/spreadsheetml/2006/main" count="220" uniqueCount="187">
  <si>
    <t xml:space="preserve">TEMPORAL — BURR-2 SWAP PRICER</t>
  </si>
  <si>
    <t xml:space="preserve">SETUP (never moves) -&gt; TRANSACTION -&gt; STATE before|after, row-matched. Pr = PRICE of a leg (wing input decides call/put). Mid = fair value pre-fee, pre-slippage.</t>
  </si>
  <si>
    <t xml:space="preserve">PLAIN ENGLISH</t>
  </si>
  <si>
    <t xml:space="preserve">NOTATION &amp; DEFINITIONS</t>
  </si>
  <si>
    <t xml:space="preserve">  ■  1. STATE  —  BEFORE | AFTER  (blue = input, maroon = unchanged link, black = computed)</t>
  </si>
  <si>
    <t xml:space="preserve">BEFORE</t>
  </si>
  <si>
    <t xml:space="preserve">AFTER</t>
  </si>
  <si>
    <t xml:space="preserve">perp mark S</t>
  </si>
  <si>
    <t xml:space="preserve">market observation; the centre AND the crossing</t>
  </si>
  <si>
    <t xml:space="preserve">S; k = K/S - 1</t>
  </si>
  <si>
    <t xml:space="preserve">LEVEL  Sbar</t>
  </si>
  <si>
    <t xml:space="preserve">sets the ATM price (5%:0.14 10%:0.30 15%:0.48 20%:0.70)</t>
  </si>
  <si>
    <t xml:space="preserve">S̄: ATM price ∝ S̄</t>
  </si>
  <si>
    <t xml:space="preserve">STEEPNESS  a</t>
  </si>
  <si>
    <t xml:space="preserve">shoulder sharpness near the money</t>
  </si>
  <si>
    <t xml:space="preserve">a in Δ(v)=(1+(v/s)^a)^(-(γ+1)/a)</t>
  </si>
  <si>
    <t xml:space="preserve">STEEPNESS  gamma</t>
  </si>
  <si>
    <t xml:space="preserve">tail decay far out</t>
  </si>
  <si>
    <t xml:space="preserve">γ: tail index</t>
  </si>
  <si>
    <t xml:space="preserve">N — pool notional (BTC)</t>
  </si>
  <si>
    <t xml:space="preserve">pool NOTIONAL (LPs may be levered)</t>
  </si>
  <si>
    <t xml:space="preserve">N: impact ∝ size/1%N</t>
  </si>
  <si>
    <t xml:space="preserve">lambda</t>
  </si>
  <si>
    <t xml:space="preserve">DIRECT kappa change from an ATM trade worth 1% of pool</t>
  </si>
  <si>
    <t xml:space="preserve">λ: Δκ per ATM 1%-of-pool trade, additive</t>
  </si>
  <si>
    <t xml:space="preserve">fee %</t>
  </si>
  <si>
    <t xml:space="preserve">flat fee off premium value on the input side</t>
  </si>
  <si>
    <t xml:space="preserve">φ: value x (1-φ), before impact</t>
  </si>
  <si>
    <t xml:space="preserve">B(1/a, gamma/a)</t>
  </si>
  <si>
    <t xml:space="preserve">the beta-function constant (t-family integral); fixed by a, gamma</t>
  </si>
  <si>
    <t xml:space="preserve">B = Β(1/a, γ/a) via GAMMALN</t>
  </si>
  <si>
    <t xml:space="preserve">kappa</t>
  </si>
  <si>
    <t xml:space="preserve">the ONLY thing the swap moves; additive</t>
  </si>
  <si>
    <t xml:space="preserve">Δκ = Σ ±w·λ·(Q/1%N)·(ATMp/P)</t>
  </si>
  <si>
    <t xml:space="preserve">sR</t>
  </si>
  <si>
    <t xml:space="preserve">call wing scale</t>
  </si>
  <si>
    <t xml:space="preserve">sR = S̄(1+κ)</t>
  </si>
  <si>
    <t xml:space="preserve">sL</t>
  </si>
  <si>
    <t xml:space="preserve">put wing scale</t>
  </si>
  <si>
    <t xml:space="preserve">sL = S̄(1-κ)</t>
  </si>
  <si>
    <t xml:space="preserve">G1_</t>
  </si>
  <si>
    <t xml:space="preserve">put-wing survival at price zero</t>
  </si>
  <si>
    <t xml:space="preserve">G1_ = Δ_L(1)</t>
  </si>
  <si>
    <t xml:space="preserve">I1_</t>
  </si>
  <si>
    <t xml:space="preserve">put-wing integral at price zero</t>
  </si>
  <si>
    <t xml:space="preserve">WR</t>
  </si>
  <si>
    <t xml:space="preserve">call wing area</t>
  </si>
  <si>
    <t xml:space="preserve">WR = sR·B/a</t>
  </si>
  <si>
    <t xml:space="preserve">WL</t>
  </si>
  <si>
    <t xml:space="preserve">put wing area, cut off at zero</t>
  </si>
  <si>
    <t xml:space="preserve">qR</t>
  </si>
  <si>
    <t xml:space="preserve">THE peg — keeps the wings meeting at the mark</t>
  </si>
  <si>
    <t xml:space="preserve">qR = WL/(WR+WL), derived</t>
  </si>
  <si>
    <t xml:space="preserve">qL</t>
  </si>
  <si>
    <t xml:space="preserve">put wing height</t>
  </si>
  <si>
    <t xml:space="preserve">ATM price</t>
  </si>
  <si>
    <t xml:space="preserve">the meeting value at the mark</t>
  </si>
  <si>
    <t xml:space="preserve">ATMp = qR·(sR/a)·B</t>
  </si>
  <si>
    <t xml:space="preserve">  ■  2. TRANSACTION</t>
  </si>
  <si>
    <t xml:space="preserve">SELL  wing</t>
  </si>
  <si>
    <t xml:space="preserve">the leg you sell to the pool: +1 = calls, -1 = puts</t>
  </si>
  <si>
    <t xml:space="preserve">w_s ∈ {+1,-1}</t>
  </si>
  <si>
    <t xml:space="preserve">SELL  k inner</t>
  </si>
  <si>
    <t xml:space="preserve">strike as % from the mark</t>
  </si>
  <si>
    <t xml:space="preserve">k = K/S - 1. OTM: calls k&gt;0, puts k&lt;0</t>
  </si>
  <si>
    <t xml:space="preserve">SELL  k outer (blank = single)</t>
  </si>
  <si>
    <t xml:space="preserve">second strike = vertical spread; blank = single</t>
  </si>
  <si>
    <t xml:space="preserve">leg value = Pr(inner) - Pr(outer)</t>
  </si>
  <si>
    <t xml:space="preserve">SELL  size (BTC)</t>
  </si>
  <si>
    <t xml:space="preserve">BUY  wing</t>
  </si>
  <si>
    <t xml:space="preserve">the leg you buy with the proceeds</t>
  </si>
  <si>
    <t xml:space="preserve">w_b</t>
  </si>
  <si>
    <t xml:space="preserve">BUY  k inner</t>
  </si>
  <si>
    <t xml:space="preserve">BUY  k outer (blank = single)</t>
  </si>
  <si>
    <t xml:space="preserve">sell: value per unit (mid)</t>
  </si>
  <si>
    <t xml:space="preserve">fair value of one unit you sell, BEFORE fee and slippage</t>
  </si>
  <si>
    <t xml:space="preserve">P_s = PrSI - PrSO   (Pr in Annex A)</t>
  </si>
  <si>
    <t xml:space="preserve">sell: slippage %</t>
  </si>
  <si>
    <t xml:space="preserve">haircut on the sell; cheap strikes cost more, dear (ITM) less</t>
  </si>
  <si>
    <t xml:space="preserve">s_s = ½·λ·(Q_s/1%N)·ATMp/P_s</t>
  </si>
  <si>
    <t xml:space="preserve">sell: proceeds (BTC)</t>
  </si>
  <si>
    <t xml:space="preserve">BTC credited: fee off premium value, then the haircut</t>
  </si>
  <si>
    <t xml:space="preserve">V = Q_s·P_s·(1-φ)·(1-s_s); 0 if s_s≥1</t>
  </si>
  <si>
    <t xml:space="preserve">buy: value per unit (mid)</t>
  </si>
  <si>
    <t xml:space="preserve">fair value of one unit you buy</t>
  </si>
  <si>
    <t xml:space="preserve">P_b = PrBI - PrBO</t>
  </si>
  <si>
    <t xml:space="preserve">buy: slippage %</t>
  </si>
  <si>
    <t xml:space="preserve">markup on the buy (sized on a first proforma pass)</t>
  </si>
  <si>
    <t xml:space="preserve">s_b = ½·λ·(Q0/1%N)·ATMp/P_b</t>
  </si>
  <si>
    <t xml:space="preserve">BUY SIZE (units received)</t>
  </si>
  <si>
    <t xml:space="preserve">THE ANSWER: units bought with the proceeds</t>
  </si>
  <si>
    <t xml:space="preserve">Q_b = V·(1-φ)/(P_b·(1+s_b))</t>
  </si>
  <si>
    <t xml:space="preserve">COMBINED cost %</t>
  </si>
  <si>
    <t xml:space="preserve">total value lost: fees both sides + slippage both sides</t>
  </si>
  <si>
    <t xml:space="preserve">1 - Q_b·P_b/(Q_s·P_s)</t>
  </si>
  <si>
    <t xml:space="preserve">status</t>
  </si>
  <si>
    <t xml:space="preserve">  ■  ANNEX A — LEG PRICES  (Pr = price; the wing input decides call/put)</t>
  </si>
  <si>
    <t xml:space="preserve">  sell inner: u (call wing)</t>
  </si>
  <si>
    <t xml:space="preserve">beta argument at this strike</t>
  </si>
  <si>
    <t xml:space="preserve">u = 1/(1+(sR/|k|)^a)</t>
  </si>
  <si>
    <t xml:space="preserve">  sell inner: u (put wing)</t>
  </si>
  <si>
    <t xml:space="preserve">same with sL</t>
  </si>
  <si>
    <t xml:space="preserve">  sell inner: call-wing value</t>
  </si>
  <si>
    <t xml:space="preserve">OTM call value at |k|</t>
  </si>
  <si>
    <t xml:space="preserve">A_R(|k|)</t>
  </si>
  <si>
    <t xml:space="preserve">  sell inner: put-wing value</t>
  </si>
  <si>
    <t xml:space="preserve">OTM put value at |k|, truncated at zero</t>
  </si>
  <si>
    <t xml:space="preserve">A_L(|k|)</t>
  </si>
  <si>
    <t xml:space="preserve">sell inner: PRICE Pr</t>
  </si>
  <si>
    <t xml:space="preserve">full price: OTM = wing value; ITM = |k| + the other wing</t>
  </si>
  <si>
    <t xml:space="preserve">Pr = A_wing, or |k|+A_mirror if ITM</t>
  </si>
  <si>
    <t xml:space="preserve">  sell outer: u (call wing)</t>
  </si>
  <si>
    <t xml:space="preserve">  sell outer: u (put wing)</t>
  </si>
  <si>
    <t xml:space="preserve">  sell outer: call-wing value</t>
  </si>
  <si>
    <t xml:space="preserve">  sell outer: put-wing value</t>
  </si>
  <si>
    <t xml:space="preserve">sell outer: PRICE Pr</t>
  </si>
  <si>
    <t xml:space="preserve">  buy inner: u (call wing)</t>
  </si>
  <si>
    <t xml:space="preserve">  buy inner: u (put wing)</t>
  </si>
  <si>
    <t xml:space="preserve">  buy inner: call-wing value</t>
  </si>
  <si>
    <t xml:space="preserve">  buy inner: put-wing value</t>
  </si>
  <si>
    <t xml:space="preserve">buy inner: PRICE Pr</t>
  </si>
  <si>
    <t xml:space="preserve">  buy outer: u (call wing)</t>
  </si>
  <si>
    <t xml:space="preserve">  buy outer: u (put wing)</t>
  </si>
  <si>
    <t xml:space="preserve">  buy outer: call-wing value</t>
  </si>
  <si>
    <t xml:space="preserve">  buy outer: put-wing value</t>
  </si>
  <si>
    <t xml:space="preserve">buy outer: PRICE Pr</t>
  </si>
  <si>
    <t xml:space="preserve">sell leg value (impact base)</t>
  </si>
  <si>
    <t xml:space="preserve">full mid value of the sell leg — no intrinsic/extrinsic split</t>
  </si>
  <si>
    <t xml:space="preserve">X_s = P_s (full value)</t>
  </si>
  <si>
    <t xml:space="preserve">buy leg value (impact base)</t>
  </si>
  <si>
    <t xml:space="preserve">full mid value of the buy leg</t>
  </si>
  <si>
    <t xml:space="preserve">X_b = P_b</t>
  </si>
  <si>
    <t xml:space="preserve">first-pass buy size</t>
  </si>
  <si>
    <t xml:space="preserve">proforma size before its own slippage (breaks the circle)</t>
  </si>
  <si>
    <t xml:space="preserve">Q_0 = V/P_b</t>
  </si>
  <si>
    <t xml:space="preserve">  ■  ANNEX B — CHART PIPELINE  (rows = steps; 61 strike points across)</t>
  </si>
  <si>
    <t xml:space="preserve">grid: 61 points, 0 -&gt; 2x mark  -&gt;</t>
  </si>
  <si>
    <t xml:space="preserve">K</t>
  </si>
  <si>
    <t xml:space="preserve">the strike grid</t>
  </si>
  <si>
    <t xml:space="preserve">K_j = 2S·j/60: 61 evenly spaced strikes, 0 to twice the mark</t>
  </si>
  <si>
    <t xml:space="preserve">k</t>
  </si>
  <si>
    <t xml:space="preserve">distance from the mark, signed</t>
  </si>
  <si>
    <t xml:space="preserve">k = K/S - 1</t>
  </si>
  <si>
    <t xml:space="preserve">uR</t>
  </si>
  <si>
    <t xml:space="preserve">beta argument, call wing</t>
  </si>
  <si>
    <t xml:space="preserve">uL</t>
  </si>
  <si>
    <t xml:space="preserve">beta argument, put wing</t>
  </si>
  <si>
    <t xml:space="preserve">A_call</t>
  </si>
  <si>
    <t xml:space="preserve">call wing value at |k|</t>
  </si>
  <si>
    <t xml:space="preserve">qR·(sR/a)·B·(1-I_u)</t>
  </si>
  <si>
    <t xml:space="preserve">A_put</t>
  </si>
  <si>
    <t xml:space="preserve">put wing value, truncated at zero</t>
  </si>
  <si>
    <t xml:space="preserve">qL/(1-G1_)·[...]</t>
  </si>
  <si>
    <t xml:space="preserve">uR aft</t>
  </si>
  <si>
    <t xml:space="preserve">post-swap beta argument, call</t>
  </si>
  <si>
    <t xml:space="preserve">uses sRA</t>
  </si>
  <si>
    <t xml:space="preserve">uL aft</t>
  </si>
  <si>
    <t xml:space="preserve">post-swap, put</t>
  </si>
  <si>
    <t xml:space="preserve">uses sLA</t>
  </si>
  <si>
    <t xml:space="preserve">A_call aft</t>
  </si>
  <si>
    <t xml:space="preserve">post-swap call wing value</t>
  </si>
  <si>
    <t xml:space="preserve">uses qRA, sRA</t>
  </si>
  <si>
    <t xml:space="preserve">A_put aft</t>
  </si>
  <si>
    <t xml:space="preserve">post-swap put wing value</t>
  </si>
  <si>
    <t xml:space="preserve">uses qLA, sLA</t>
  </si>
  <si>
    <t xml:space="preserve">CALL bef</t>
  </si>
  <si>
    <t xml:space="preserve">solid green line</t>
  </si>
  <si>
    <t xml:space="preserve">k≥0: wing; k&lt;0: |k| + put wing (ITM emerges)</t>
  </si>
  <si>
    <t xml:space="preserve">PUT bef</t>
  </si>
  <si>
    <t xml:space="preserve">solid red line</t>
  </si>
  <si>
    <t xml:space="preserve">k≤0: wing; k&gt;0: k + call wing</t>
  </si>
  <si>
    <t xml:space="preserve">CALL aft</t>
  </si>
  <si>
    <t xml:space="preserve">dotted green line</t>
  </si>
  <si>
    <t xml:space="preserve">post-swap state</t>
  </si>
  <si>
    <t xml:space="preserve">PUT aft</t>
  </si>
  <si>
    <t xml:space="preserve">dotted red line</t>
  </si>
  <si>
    <t xml:space="preserve">  ■  ANNEX C — HEALTH  (identities; cannot fail)</t>
  </si>
  <si>
    <t xml:space="preserve">call at K=0 (=1)</t>
  </si>
  <si>
    <t xml:space="preserve">identity: the call struck at zero is the whole coin</t>
  </si>
  <si>
    <t xml:space="preserve">C(K=0) = 1 + A_L(1); A_L(1)=0 by truncation</t>
  </si>
  <si>
    <t xml:space="preserve">put at K=0 (=0)</t>
  </si>
  <si>
    <t xml:space="preserve">identity: the put struck at zero is worthless</t>
  </si>
  <si>
    <t xml:space="preserve">P(K=0) = A_L at its own edge = 0</t>
  </si>
  <si>
    <t xml:space="preserve">ATM put (check)</t>
  </si>
  <si>
    <t xml:space="preserve">ATM put must equal ATM price (the wings meet)</t>
  </si>
  <si>
    <t xml:space="preserve">A_L(0) = A_R(0)</t>
  </si>
  <si>
    <t xml:space="preserve">VERDICT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</si>
</sst>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000"/>
    <numFmt numFmtId="167" formatCode="0.0"/>
    <numFmt numFmtId="168" formatCode="0.000000"/>
    <numFmt numFmtId="169" formatCode="0"/>
    <numFmt numFmtId="170" formatCode="0.00%"/>
    <numFmt numFmtId="171" formatCode="0.000"/>
    <numFmt numFmtId="172" formatCode="0.0000%"/>
    <numFmt numFmtId="173" formatCode="0.00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F0000"/>
      <name val="Arial"/>
      <family val="0"/>
      <charset val="1"/>
    </font>
    <font>
      <sz val="9"/>
      <color rgb="FF305050"/>
      <name val="Arial"/>
      <family val="0"/>
      <charset val="1"/>
    </font>
    <font>
      <sz val="9"/>
      <color rgb="FF44546A"/>
      <name val="Consolas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79"/>
        <bgColor rgb="FF305050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44546A"/>
      <rgbColor rgb="FF993300"/>
      <rgbColor rgb="FF595959"/>
      <rgbColor rgb="FF1F4E79"/>
      <rgbColor rgb="FF3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solid = before the swap, dotted =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"CALL bef"</c:f>
              <c:strCache>
                <c:ptCount val="1"/>
                <c:pt idx="0">
                  <c:v>CALL bef</c:v>
                </c:pt>
              </c:strCache>
            </c:strRef>
          </c:tx>
          <c:spPr>
            <a:ln w="34925" cap="rnd">
              <a:solidFill>
                <a:srgbClr val="2E7D32"/>
              </a:solidFill>
              <a:round/>
            </a:ln>
            <a:effectLst/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Trade!$G$69:$BO$69</c:f>
              <c:numCache>
                <c:formatCode>#,##0.0</c:formatCode>
                <c:ptCount val="61"/>
                <c:pt idx="0">
                  <c:v>0</c:v>
                </c:pt>
                <c:pt idx="1">
                  <c:v>2189.85</c:v>
                </c:pt>
                <c:pt idx="2">
                  <c:v>4379.7</c:v>
                </c:pt>
                <c:pt idx="3">
                  <c:v>6569.55</c:v>
                </c:pt>
                <c:pt idx="4">
                  <c:v>8759.4</c:v>
                </c:pt>
                <c:pt idx="5">
                  <c:v>10949.25</c:v>
                </c:pt>
                <c:pt idx="6">
                  <c:v>13139.1</c:v>
                </c:pt>
                <c:pt idx="7">
                  <c:v>15328.95</c:v>
                </c:pt>
                <c:pt idx="8">
                  <c:v>17518.8</c:v>
                </c:pt>
                <c:pt idx="9">
                  <c:v>19708.65</c:v>
                </c:pt>
                <c:pt idx="10">
                  <c:v>21898.5</c:v>
                </c:pt>
                <c:pt idx="11">
                  <c:v>24088.35</c:v>
                </c:pt>
                <c:pt idx="12">
                  <c:v>26278.2</c:v>
                </c:pt>
                <c:pt idx="13">
                  <c:v>28468.05</c:v>
                </c:pt>
                <c:pt idx="14">
                  <c:v>30657.9</c:v>
                </c:pt>
                <c:pt idx="15">
                  <c:v>32847.75</c:v>
                </c:pt>
                <c:pt idx="16">
                  <c:v>35037.6</c:v>
                </c:pt>
                <c:pt idx="17">
                  <c:v>37227.45</c:v>
                </c:pt>
                <c:pt idx="18">
                  <c:v>39417.3</c:v>
                </c:pt>
                <c:pt idx="19">
                  <c:v>41607.15</c:v>
                </c:pt>
                <c:pt idx="20">
                  <c:v>43797</c:v>
                </c:pt>
                <c:pt idx="21">
                  <c:v>45986.85</c:v>
                </c:pt>
                <c:pt idx="22">
                  <c:v>48176.7</c:v>
                </c:pt>
                <c:pt idx="23">
                  <c:v>50366.55</c:v>
                </c:pt>
                <c:pt idx="24">
                  <c:v>52556.4</c:v>
                </c:pt>
                <c:pt idx="25">
                  <c:v>54746.25</c:v>
                </c:pt>
                <c:pt idx="26">
                  <c:v>56936.1</c:v>
                </c:pt>
                <c:pt idx="27">
                  <c:v>59125.95</c:v>
                </c:pt>
                <c:pt idx="28">
                  <c:v>61315.8</c:v>
                </c:pt>
                <c:pt idx="29">
                  <c:v>63505.65</c:v>
                </c:pt>
                <c:pt idx="30">
                  <c:v>65695.5</c:v>
                </c:pt>
                <c:pt idx="31">
                  <c:v>67885.35</c:v>
                </c:pt>
                <c:pt idx="32">
                  <c:v>70075.2</c:v>
                </c:pt>
                <c:pt idx="33">
                  <c:v>72265.05</c:v>
                </c:pt>
                <c:pt idx="34">
                  <c:v>74454.9</c:v>
                </c:pt>
                <c:pt idx="35">
                  <c:v>76644.75</c:v>
                </c:pt>
                <c:pt idx="36">
                  <c:v>78834.6</c:v>
                </c:pt>
                <c:pt idx="37">
                  <c:v>81024.45</c:v>
                </c:pt>
                <c:pt idx="38">
                  <c:v>83214.3</c:v>
                </c:pt>
                <c:pt idx="39">
                  <c:v>85404.15</c:v>
                </c:pt>
                <c:pt idx="40">
                  <c:v>87594</c:v>
                </c:pt>
                <c:pt idx="41">
                  <c:v>89783.85</c:v>
                </c:pt>
                <c:pt idx="42">
                  <c:v>91973.7</c:v>
                </c:pt>
                <c:pt idx="43">
                  <c:v>94163.55</c:v>
                </c:pt>
                <c:pt idx="44">
                  <c:v>96353.4</c:v>
                </c:pt>
                <c:pt idx="45">
                  <c:v>98543.25</c:v>
                </c:pt>
                <c:pt idx="46">
                  <c:v>100733.1</c:v>
                </c:pt>
                <c:pt idx="47">
                  <c:v>102922.95</c:v>
                </c:pt>
                <c:pt idx="48">
                  <c:v>105112.8</c:v>
                </c:pt>
                <c:pt idx="49">
                  <c:v>107302.65</c:v>
                </c:pt>
                <c:pt idx="50">
                  <c:v>109492.5</c:v>
                </c:pt>
                <c:pt idx="51">
                  <c:v>111682.35</c:v>
                </c:pt>
                <c:pt idx="52">
                  <c:v>113872.2</c:v>
                </c:pt>
                <c:pt idx="53">
                  <c:v>116062.05</c:v>
                </c:pt>
                <c:pt idx="54">
                  <c:v>118251.9</c:v>
                </c:pt>
                <c:pt idx="55">
                  <c:v>120441.75</c:v>
                </c:pt>
                <c:pt idx="56">
                  <c:v>122631.6</c:v>
                </c:pt>
                <c:pt idx="57">
                  <c:v>124821.45</c:v>
                </c:pt>
                <c:pt idx="58">
                  <c:v>127011.3</c:v>
                </c:pt>
                <c:pt idx="59">
                  <c:v>129201.15</c:v>
                </c:pt>
                <c:pt idx="60">
                  <c:v>131391</c:v>
                </c:pt>
              </c:numCache>
            </c:numRef>
          </c:xVal>
          <c:yVal>
            <c:numRef>
              <c:f>Trade!$G$79:$BO$79</c:f>
              <c:numCache>
                <c:formatCode>0.000000</c:formatCode>
                <c:ptCount val="61"/>
                <c:pt idx="0">
                  <c:v>1</c:v>
                </c:pt>
                <c:pt idx="1">
                  <c:v>0.966730200637381</c:v>
                </c:pt>
                <c:pt idx="2">
                  <c:v>0.93359466517761</c:v>
                </c:pt>
                <c:pt idx="3">
                  <c:v>0.900605034788315</c:v>
                </c:pt>
                <c:pt idx="4">
                  <c:v>0.867774190657395</c:v>
                </c:pt>
                <c:pt idx="5">
                  <c:v>0.835116407561002</c:v>
                </c:pt>
                <c:pt idx="6">
                  <c:v>0.802647528385647</c:v>
                </c:pt>
                <c:pt idx="7">
                  <c:v>0.770385162517667</c:v>
                </c:pt>
                <c:pt idx="8">
                  <c:v>0.738348911349171</c:v>
                </c:pt>
                <c:pt idx="9">
                  <c:v>0.706560624478121</c:v>
                </c:pt>
                <c:pt idx="10">
                  <c:v>0.675044690470336</c:v>
                </c:pt>
                <c:pt idx="11">
                  <c:v>0.643828366251788</c:v>
                </c:pt>
                <c:pt idx="12">
                  <c:v>0.612942149229457</c:v>
                </c:pt>
                <c:pt idx="13">
                  <c:v>0.58242019597039</c:v>
                </c:pt>
                <c:pt idx="14">
                  <c:v>0.552300790503509</c:v>
                </c:pt>
                <c:pt idx="15">
                  <c:v>0.522626863740882</c:v>
                </c:pt>
                <c:pt idx="16">
                  <c:v>0.493446562673152</c:v>
                </c:pt>
                <c:pt idx="17">
                  <c:v>0.464813863151395</c:v>
                </c:pt>
                <c:pt idx="18">
                  <c:v>0.436789212102879</c:v>
                </c:pt>
                <c:pt idx="19">
                  <c:v>0.409440172197186</c:v>
                </c:pt>
                <c:pt idx="20">
                  <c:v>0.382842021545084</c:v>
                </c:pt>
                <c:pt idx="21">
                  <c:v>0.357078228612915</c:v>
                </c:pt>
                <c:pt idx="22">
                  <c:v>0.332240671056124</c:v>
                </c:pt>
                <c:pt idx="23">
                  <c:v>0.308429384605859</c:v>
                </c:pt>
                <c:pt idx="24">
                  <c:v>0.285751493129182</c:v>
                </c:pt>
                <c:pt idx="25">
                  <c:v>0.264318742547179</c:v>
                </c:pt>
                <c:pt idx="26">
                  <c:v>0.244242651613936</c:v>
                </c:pt>
                <c:pt idx="27">
                  <c:v>0.225625481854102</c:v>
                </c:pt>
                <c:pt idx="28">
                  <c:v>0.20854333420539</c:v>
                </c:pt>
                <c:pt idx="29">
                  <c:v>0.19301175737374</c:v>
                </c:pt>
                <c:pt idx="30">
                  <c:v>0.178887890762672</c:v>
                </c:pt>
                <c:pt idx="31">
                  <c:v>0.16562566389023</c:v>
                </c:pt>
                <c:pt idx="32">
                  <c:v>0.153244183829302</c:v>
                </c:pt>
                <c:pt idx="33">
                  <c:v>0.141832832790596</c:v>
                </c:pt>
                <c:pt idx="34">
                  <c:v>0.131381882581938</c:v>
                </c:pt>
                <c:pt idx="35">
                  <c:v>0.121843719945369</c:v>
                </c:pt>
                <c:pt idx="36">
                  <c:v>0.113154364008926</c:v>
                </c:pt>
                <c:pt idx="37">
                  <c:v>0.105244042029132</c:v>
                </c:pt>
                <c:pt idx="38">
                  <c:v>0.0980428391333682</c:v>
                </c:pt>
                <c:pt idx="39">
                  <c:v>0.0914837322800127</c:v>
                </c:pt>
                <c:pt idx="40">
                  <c:v>0.0855041331854622</c:v>
                </c:pt>
                <c:pt idx="41">
                  <c:v>0.08004655774189</c:v>
                </c:pt>
                <c:pt idx="42">
                  <c:v>0.0750587831286747</c:v>
                </c:pt>
                <c:pt idx="43">
                  <c:v>0.0704937108971753</c:v>
                </c:pt>
                <c:pt idx="44">
                  <c:v>0.0663090698361309</c:v>
                </c:pt>
                <c:pt idx="45">
                  <c:v>0.0624670407645022</c:v>
                </c:pt>
                <c:pt idx="46">
                  <c:v>0.0589338531901237</c:v>
                </c:pt>
                <c:pt idx="47">
                  <c:v>0.0556793835014582</c:v>
                </c:pt>
                <c:pt idx="48">
                  <c:v>0.0526767715749367</c:v>
                </c:pt>
                <c:pt idx="49">
                  <c:v>0.0499020646525576</c:v>
                </c:pt>
                <c:pt idx="50">
                  <c:v>0.047333892361149</c:v>
                </c:pt>
                <c:pt idx="51">
                  <c:v>0.0449531737149938</c:v>
                </c:pt>
                <c:pt idx="52">
                  <c:v>0.04274285516539</c:v>
                </c:pt>
                <c:pt idx="53">
                  <c:v>0.0406876777797898</c:v>
                </c:pt>
                <c:pt idx="54">
                  <c:v>0.0387739711544454</c:v>
                </c:pt>
                <c:pt idx="55">
                  <c:v>0.0369894714964675</c:v>
                </c:pt>
                <c:pt idx="56">
                  <c:v>0.035323161329865</c:v>
                </c:pt>
                <c:pt idx="57">
                  <c:v>0.033765128405659</c:v>
                </c:pt>
                <c:pt idx="58">
                  <c:v>0.0323064415776669</c:v>
                </c:pt>
                <c:pt idx="59">
                  <c:v>0.0309390416111338</c:v>
                </c:pt>
                <c:pt idx="60">
                  <c:v>0.0296556451014927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"CALL aft"</c:f>
              <c:strCache>
                <c:ptCount val="1"/>
                <c:pt idx="0">
                  <c:v>CALL aft</c:v>
                </c:pt>
              </c:strCache>
            </c:strRef>
          </c:tx>
          <c:spPr>
            <a:ln w="19050" cap="rnd">
              <a:solidFill>
                <a:srgbClr val="2E7D32"/>
              </a:solidFill>
              <a:prstDash val="dash"/>
              <a:round/>
            </a:ln>
            <a:effectLst/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Trade!$G$69:$BO$69</c:f>
              <c:numCache>
                <c:formatCode>#,##0.0</c:formatCode>
                <c:ptCount val="61"/>
                <c:pt idx="0">
                  <c:v>0</c:v>
                </c:pt>
                <c:pt idx="1">
                  <c:v>2189.85</c:v>
                </c:pt>
                <c:pt idx="2">
                  <c:v>4379.7</c:v>
                </c:pt>
                <c:pt idx="3">
                  <c:v>6569.55</c:v>
                </c:pt>
                <c:pt idx="4">
                  <c:v>8759.4</c:v>
                </c:pt>
                <c:pt idx="5">
                  <c:v>10949.25</c:v>
                </c:pt>
                <c:pt idx="6">
                  <c:v>13139.1</c:v>
                </c:pt>
                <c:pt idx="7">
                  <c:v>15328.95</c:v>
                </c:pt>
                <c:pt idx="8">
                  <c:v>17518.8</c:v>
                </c:pt>
                <c:pt idx="9">
                  <c:v>19708.65</c:v>
                </c:pt>
                <c:pt idx="10">
                  <c:v>21898.5</c:v>
                </c:pt>
                <c:pt idx="11">
                  <c:v>24088.35</c:v>
                </c:pt>
                <c:pt idx="12">
                  <c:v>26278.2</c:v>
                </c:pt>
                <c:pt idx="13">
                  <c:v>28468.05</c:v>
                </c:pt>
                <c:pt idx="14">
                  <c:v>30657.9</c:v>
                </c:pt>
                <c:pt idx="15">
                  <c:v>32847.75</c:v>
                </c:pt>
                <c:pt idx="16">
                  <c:v>35037.6</c:v>
                </c:pt>
                <c:pt idx="17">
                  <c:v>37227.45</c:v>
                </c:pt>
                <c:pt idx="18">
                  <c:v>39417.3</c:v>
                </c:pt>
                <c:pt idx="19">
                  <c:v>41607.15</c:v>
                </c:pt>
                <c:pt idx="20">
                  <c:v>43797</c:v>
                </c:pt>
                <c:pt idx="21">
                  <c:v>45986.85</c:v>
                </c:pt>
                <c:pt idx="22">
                  <c:v>48176.7</c:v>
                </c:pt>
                <c:pt idx="23">
                  <c:v>50366.55</c:v>
                </c:pt>
                <c:pt idx="24">
                  <c:v>52556.4</c:v>
                </c:pt>
                <c:pt idx="25">
                  <c:v>54746.25</c:v>
                </c:pt>
                <c:pt idx="26">
                  <c:v>56936.1</c:v>
                </c:pt>
                <c:pt idx="27">
                  <c:v>59125.95</c:v>
                </c:pt>
                <c:pt idx="28">
                  <c:v>61315.8</c:v>
                </c:pt>
                <c:pt idx="29">
                  <c:v>63505.65</c:v>
                </c:pt>
                <c:pt idx="30">
                  <c:v>65695.5</c:v>
                </c:pt>
                <c:pt idx="31">
                  <c:v>67885.35</c:v>
                </c:pt>
                <c:pt idx="32">
                  <c:v>70075.2</c:v>
                </c:pt>
                <c:pt idx="33">
                  <c:v>72265.05</c:v>
                </c:pt>
                <c:pt idx="34">
                  <c:v>74454.9</c:v>
                </c:pt>
                <c:pt idx="35">
                  <c:v>76644.75</c:v>
                </c:pt>
                <c:pt idx="36">
                  <c:v>78834.6</c:v>
                </c:pt>
                <c:pt idx="37">
                  <c:v>81024.45</c:v>
                </c:pt>
                <c:pt idx="38">
                  <c:v>83214.3</c:v>
                </c:pt>
                <c:pt idx="39">
                  <c:v>85404.15</c:v>
                </c:pt>
                <c:pt idx="40">
                  <c:v>87594</c:v>
                </c:pt>
                <c:pt idx="41">
                  <c:v>89783.85</c:v>
                </c:pt>
                <c:pt idx="42">
                  <c:v>91973.7</c:v>
                </c:pt>
                <c:pt idx="43">
                  <c:v>94163.55</c:v>
                </c:pt>
                <c:pt idx="44">
                  <c:v>96353.4</c:v>
                </c:pt>
                <c:pt idx="45">
                  <c:v>98543.25</c:v>
                </c:pt>
                <c:pt idx="46">
                  <c:v>100733.1</c:v>
                </c:pt>
                <c:pt idx="47">
                  <c:v>102922.95</c:v>
                </c:pt>
                <c:pt idx="48">
                  <c:v>105112.8</c:v>
                </c:pt>
                <c:pt idx="49">
                  <c:v>107302.65</c:v>
                </c:pt>
                <c:pt idx="50">
                  <c:v>109492.5</c:v>
                </c:pt>
                <c:pt idx="51">
                  <c:v>111682.35</c:v>
                </c:pt>
                <c:pt idx="52">
                  <c:v>113872.2</c:v>
                </c:pt>
                <c:pt idx="53">
                  <c:v>116062.05</c:v>
                </c:pt>
                <c:pt idx="54">
                  <c:v>118251.9</c:v>
                </c:pt>
                <c:pt idx="55">
                  <c:v>120441.75</c:v>
                </c:pt>
                <c:pt idx="56">
                  <c:v>122631.6</c:v>
                </c:pt>
                <c:pt idx="57">
                  <c:v>124821.45</c:v>
                </c:pt>
                <c:pt idx="58">
                  <c:v>127011.3</c:v>
                </c:pt>
                <c:pt idx="59">
                  <c:v>129201.15</c:v>
                </c:pt>
                <c:pt idx="60">
                  <c:v>131391</c:v>
                </c:pt>
              </c:numCache>
            </c:numRef>
          </c:xVal>
          <c:yVal>
            <c:numRef>
              <c:f>Trade!$G$81:$BO$81</c:f>
              <c:numCache>
                <c:formatCode>0.000000</c:formatCode>
                <c:ptCount val="61"/>
                <c:pt idx="0">
                  <c:v>1</c:v>
                </c:pt>
                <c:pt idx="1">
                  <c:v>0.966734537630891</c:v>
                </c:pt>
                <c:pt idx="2">
                  <c:v>0.93361220512195</c:v>
                </c:pt>
                <c:pt idx="3">
                  <c:v>0.900644914966618</c:v>
                </c:pt>
                <c:pt idx="4">
                  <c:v>0.867845789464916</c:v>
                </c:pt>
                <c:pt idx="5">
                  <c:v>0.835229302085196</c:v>
                </c:pt>
                <c:pt idx="6">
                  <c:v>0.802811436672136</c:v>
                </c:pt>
                <c:pt idx="7">
                  <c:v>0.770609866684304</c:v>
                </c:pt>
                <c:pt idx="8">
                  <c:v>0.73864415681528</c:v>
                </c:pt>
                <c:pt idx="9">
                  <c:v>0.706935989481603</c:v>
                </c:pt>
                <c:pt idx="10">
                  <c:v>0.675509418712539</c:v>
                </c:pt>
                <c:pt idx="11">
                  <c:v>0.644391153895905</c:v>
                </c:pt>
                <c:pt idx="12">
                  <c:v>0.613610875537946</c:v>
                </c:pt>
                <c:pt idx="13">
                  <c:v>0.583201584559024</c:v>
                </c:pt>
                <c:pt idx="14">
                  <c:v>0.553199985484969</c:v>
                </c:pt>
                <c:pt idx="15">
                  <c:v>0.523646901928769</c:v>
                </c:pt>
                <c:pt idx="16">
                  <c:v>0.494587719574615</c:v>
                </c:pt>
                <c:pt idx="17">
                  <c:v>0.466072846855148</c:v>
                </c:pt>
                <c:pt idx="18">
                  <c:v>0.438158175716818</c:v>
                </c:pt>
                <c:pt idx="19">
                  <c:v>0.410905512873351</c:v>
                </c:pt>
                <c:pt idx="20">
                  <c:v>0.384382933556984</c:v>
                </c:pt>
                <c:pt idx="21">
                  <c:v>0.358664981536643</c:v>
                </c:pt>
                <c:pt idx="22">
                  <c:v>0.333832595489054</c:v>
                </c:pt>
                <c:pt idx="23">
                  <c:v>0.309972573243569</c:v>
                </c:pt>
                <c:pt idx="24">
                  <c:v>0.287176275058471</c:v>
                </c:pt>
                <c:pt idx="25">
                  <c:v>0.26553708193953</c:v>
                </c:pt>
                <c:pt idx="26">
                  <c:v>0.245145792853463</c:v>
                </c:pt>
                <c:pt idx="27">
                  <c:v>0.226082480725988</c:v>
                </c:pt>
                <c:pt idx="28">
                  <c:v>0.208401746779519</c:v>
                </c:pt>
                <c:pt idx="29">
                  <c:v>0.192103268380648</c:v>
                </c:pt>
                <c:pt idx="30">
                  <c:v>0.177048014303763</c:v>
                </c:pt>
                <c:pt idx="31">
                  <c:v>0.16285171938452</c:v>
                </c:pt>
                <c:pt idx="32">
                  <c:v>0.14969355911744</c:v>
                </c:pt>
                <c:pt idx="33">
                  <c:v>0.13766631021132</c:v>
                </c:pt>
                <c:pt idx="34">
                  <c:v>0.126745140556129</c:v>
                </c:pt>
                <c:pt idx="35">
                  <c:v>0.116862337784548</c:v>
                </c:pt>
                <c:pt idx="36">
                  <c:v>0.107933453947785</c:v>
                </c:pt>
                <c:pt idx="37">
                  <c:v>0.0998698178686398</c:v>
                </c:pt>
                <c:pt idx="38">
                  <c:v>0.0925849189892273</c:v>
                </c:pt>
                <c:pt idx="39">
                  <c:v>0.085997592016441</c:v>
                </c:pt>
                <c:pt idx="40">
                  <c:v>0.0800334318027274</c:v>
                </c:pt>
                <c:pt idx="41">
                  <c:v>0.0746252147340979</c:v>
                </c:pt>
                <c:pt idx="42">
                  <c:v>0.0697127709406011</c:v>
                </c:pt>
                <c:pt idx="43">
                  <c:v>0.0652425677006929</c:v>
                </c:pt>
                <c:pt idx="44">
                  <c:v>0.0611671574341089</c:v>
                </c:pt>
                <c:pt idx="45">
                  <c:v>0.0574445798058554</c:v>
                </c:pt>
                <c:pt idx="46">
                  <c:v>0.0540377688457039</c:v>
                </c:pt>
                <c:pt idx="47">
                  <c:v>0.0509139925713626</c:v>
                </c:pt>
                <c:pt idx="48">
                  <c:v>0.0480443384839393</c:v>
                </c:pt>
                <c:pt idx="49">
                  <c:v>0.0454032499161775</c:v>
                </c:pt>
                <c:pt idx="50">
                  <c:v>0.0429681133671775</c:v>
                </c:pt>
                <c:pt idx="51">
                  <c:v>0.04071889429203</c:v>
                </c:pt>
                <c:pt idx="52">
                  <c:v>0.038637817481492</c:v>
                </c:pt>
                <c:pt idx="53">
                  <c:v>0.0367090876337204</c:v>
                </c:pt>
                <c:pt idx="54">
                  <c:v>0.0349186456546564</c:v>
                </c:pt>
                <c:pt idx="55">
                  <c:v>0.0332539564191288</c:v>
                </c:pt>
                <c:pt idx="56">
                  <c:v>0.03170382405376</c:v>
                </c:pt>
                <c:pt idx="57">
                  <c:v>0.0302582311881751</c:v>
                </c:pt>
                <c:pt idx="58">
                  <c:v>0.0289081990173176</c:v>
                </c:pt>
                <c:pt idx="59">
                  <c:v>0.0276456653991625</c:v>
                </c:pt>
                <c:pt idx="60">
                  <c:v>0.0264633785653976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"PUT bef"</c:f>
              <c:strCache>
                <c:ptCount val="1"/>
                <c:pt idx="0">
                  <c:v>PUT bef</c:v>
                </c:pt>
              </c:strCache>
            </c:strRef>
          </c:tx>
          <c:spPr>
            <a:ln w="34925" cap="rnd">
              <a:solidFill>
                <a:srgbClr val="C62828"/>
              </a:solidFill>
              <a:round/>
            </a:ln>
            <a:effectLst/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Trade!$G$69:$BO$69</c:f>
              <c:numCache>
                <c:formatCode>#,##0.0</c:formatCode>
                <c:ptCount val="61"/>
                <c:pt idx="0">
                  <c:v>0</c:v>
                </c:pt>
                <c:pt idx="1">
                  <c:v>2189.85</c:v>
                </c:pt>
                <c:pt idx="2">
                  <c:v>4379.7</c:v>
                </c:pt>
                <c:pt idx="3">
                  <c:v>6569.55</c:v>
                </c:pt>
                <c:pt idx="4">
                  <c:v>8759.4</c:v>
                </c:pt>
                <c:pt idx="5">
                  <c:v>10949.25</c:v>
                </c:pt>
                <c:pt idx="6">
                  <c:v>13139.1</c:v>
                </c:pt>
                <c:pt idx="7">
                  <c:v>15328.95</c:v>
                </c:pt>
                <c:pt idx="8">
                  <c:v>17518.8</c:v>
                </c:pt>
                <c:pt idx="9">
                  <c:v>19708.65</c:v>
                </c:pt>
                <c:pt idx="10">
                  <c:v>21898.5</c:v>
                </c:pt>
                <c:pt idx="11">
                  <c:v>24088.35</c:v>
                </c:pt>
                <c:pt idx="12">
                  <c:v>26278.2</c:v>
                </c:pt>
                <c:pt idx="13">
                  <c:v>28468.05</c:v>
                </c:pt>
                <c:pt idx="14">
                  <c:v>30657.9</c:v>
                </c:pt>
                <c:pt idx="15">
                  <c:v>32847.75</c:v>
                </c:pt>
                <c:pt idx="16">
                  <c:v>35037.6</c:v>
                </c:pt>
                <c:pt idx="17">
                  <c:v>37227.45</c:v>
                </c:pt>
                <c:pt idx="18">
                  <c:v>39417.3</c:v>
                </c:pt>
                <c:pt idx="19">
                  <c:v>41607.15</c:v>
                </c:pt>
                <c:pt idx="20">
                  <c:v>43797</c:v>
                </c:pt>
                <c:pt idx="21">
                  <c:v>45986.85</c:v>
                </c:pt>
                <c:pt idx="22">
                  <c:v>48176.7</c:v>
                </c:pt>
                <c:pt idx="23">
                  <c:v>50366.55</c:v>
                </c:pt>
                <c:pt idx="24">
                  <c:v>52556.4</c:v>
                </c:pt>
                <c:pt idx="25">
                  <c:v>54746.25</c:v>
                </c:pt>
                <c:pt idx="26">
                  <c:v>56936.1</c:v>
                </c:pt>
                <c:pt idx="27">
                  <c:v>59125.95</c:v>
                </c:pt>
                <c:pt idx="28">
                  <c:v>61315.8</c:v>
                </c:pt>
                <c:pt idx="29">
                  <c:v>63505.65</c:v>
                </c:pt>
                <c:pt idx="30">
                  <c:v>65695.5</c:v>
                </c:pt>
                <c:pt idx="31">
                  <c:v>67885.35</c:v>
                </c:pt>
                <c:pt idx="32">
                  <c:v>70075.2</c:v>
                </c:pt>
                <c:pt idx="33">
                  <c:v>72265.05</c:v>
                </c:pt>
                <c:pt idx="34">
                  <c:v>74454.9</c:v>
                </c:pt>
                <c:pt idx="35">
                  <c:v>76644.75</c:v>
                </c:pt>
                <c:pt idx="36">
                  <c:v>78834.6</c:v>
                </c:pt>
                <c:pt idx="37">
                  <c:v>81024.45</c:v>
                </c:pt>
                <c:pt idx="38">
                  <c:v>83214.3</c:v>
                </c:pt>
                <c:pt idx="39">
                  <c:v>85404.15</c:v>
                </c:pt>
                <c:pt idx="40">
                  <c:v>87594</c:v>
                </c:pt>
                <c:pt idx="41">
                  <c:v>89783.85</c:v>
                </c:pt>
                <c:pt idx="42">
                  <c:v>91973.7</c:v>
                </c:pt>
                <c:pt idx="43">
                  <c:v>94163.55</c:v>
                </c:pt>
                <c:pt idx="44">
                  <c:v>96353.4</c:v>
                </c:pt>
                <c:pt idx="45">
                  <c:v>98543.25</c:v>
                </c:pt>
                <c:pt idx="46">
                  <c:v>100733.1</c:v>
                </c:pt>
                <c:pt idx="47">
                  <c:v>102922.95</c:v>
                </c:pt>
                <c:pt idx="48">
                  <c:v>105112.8</c:v>
                </c:pt>
                <c:pt idx="49">
                  <c:v>107302.65</c:v>
                </c:pt>
                <c:pt idx="50">
                  <c:v>109492.5</c:v>
                </c:pt>
                <c:pt idx="51">
                  <c:v>111682.35</c:v>
                </c:pt>
                <c:pt idx="52">
                  <c:v>113872.2</c:v>
                </c:pt>
                <c:pt idx="53">
                  <c:v>116062.05</c:v>
                </c:pt>
                <c:pt idx="54">
                  <c:v>118251.9</c:v>
                </c:pt>
                <c:pt idx="55">
                  <c:v>120441.75</c:v>
                </c:pt>
                <c:pt idx="56">
                  <c:v>122631.6</c:v>
                </c:pt>
                <c:pt idx="57">
                  <c:v>124821.45</c:v>
                </c:pt>
                <c:pt idx="58">
                  <c:v>127011.3</c:v>
                </c:pt>
                <c:pt idx="59">
                  <c:v>129201.15</c:v>
                </c:pt>
                <c:pt idx="60">
                  <c:v>131391</c:v>
                </c:pt>
              </c:numCache>
            </c:numRef>
          </c:xVal>
          <c:yVal>
            <c:numRef>
              <c:f>Trade!$G$80:$BO$80</c:f>
              <c:numCache>
                <c:formatCode>0.000000</c:formatCode>
                <c:ptCount val="61"/>
                <c:pt idx="0">
                  <c:v>0</c:v>
                </c:pt>
                <c:pt idx="1">
                  <c:v>6.35339707145027E-005</c:v>
                </c:pt>
                <c:pt idx="2">
                  <c:v>0.000261331844276345</c:v>
                </c:pt>
                <c:pt idx="3">
                  <c:v>0.000605034788315337</c:v>
                </c:pt>
                <c:pt idx="4">
                  <c:v>0.0011075239907279</c:v>
                </c:pt>
                <c:pt idx="5">
                  <c:v>0.00178307422766886</c:v>
                </c:pt>
                <c:pt idx="6">
                  <c:v>0.00264752838564718</c:v>
                </c:pt>
                <c:pt idx="7">
                  <c:v>0.00371849585100026</c:v>
                </c:pt>
                <c:pt idx="8">
                  <c:v>0.00501557801583709</c:v>
                </c:pt>
                <c:pt idx="9">
                  <c:v>0.00656062447812144</c:v>
                </c:pt>
                <c:pt idx="10">
                  <c:v>0.00837802380366885</c:v>
                </c:pt>
                <c:pt idx="11">
                  <c:v>0.0104950329184542</c:v>
                </c:pt>
                <c:pt idx="12">
                  <c:v>0.0129421492294575</c:v>
                </c:pt>
                <c:pt idx="13">
                  <c:v>0.0157535293037237</c:v>
                </c:pt>
                <c:pt idx="14">
                  <c:v>0.0189674571701757</c:v>
                </c:pt>
                <c:pt idx="15">
                  <c:v>0.0226268637408821</c:v>
                </c:pt>
                <c:pt idx="16">
                  <c:v>0.026779896006485</c:v>
                </c:pt>
                <c:pt idx="17">
                  <c:v>0.0314805298180619</c:v>
                </c:pt>
                <c:pt idx="18">
                  <c:v>0.0367892121028785</c:v>
                </c:pt>
                <c:pt idx="19">
                  <c:v>0.0427735055305197</c:v>
                </c:pt>
                <c:pt idx="20">
                  <c:v>0.0495086882117508</c:v>
                </c:pt>
                <c:pt idx="21">
                  <c:v>0.0570782286129151</c:v>
                </c:pt>
                <c:pt idx="22">
                  <c:v>0.0655740043894577</c:v>
                </c:pt>
                <c:pt idx="23">
                  <c:v>0.0750960512725256</c:v>
                </c:pt>
                <c:pt idx="24">
                  <c:v>0.0857514931291825</c:v>
                </c:pt>
                <c:pt idx="25">
                  <c:v>0.0976520758805124</c:v>
                </c:pt>
                <c:pt idx="26">
                  <c:v>0.110909318280603</c:v>
                </c:pt>
                <c:pt idx="27">
                  <c:v>0.125625481854102</c:v>
                </c:pt>
                <c:pt idx="28">
                  <c:v>0.141876667538724</c:v>
                </c:pt>
                <c:pt idx="29">
                  <c:v>0.159678424040407</c:v>
                </c:pt>
                <c:pt idx="30">
                  <c:v>0.178887890518671</c:v>
                </c:pt>
                <c:pt idx="31">
                  <c:v>0.198958997223563</c:v>
                </c:pt>
                <c:pt idx="32">
                  <c:v>0.219910850495968</c:v>
                </c:pt>
                <c:pt idx="33">
                  <c:v>0.241832832790596</c:v>
                </c:pt>
                <c:pt idx="34">
                  <c:v>0.264715215915271</c:v>
                </c:pt>
                <c:pt idx="35">
                  <c:v>0.288510386612036</c:v>
                </c:pt>
                <c:pt idx="36">
                  <c:v>0.313154364008926</c:v>
                </c:pt>
                <c:pt idx="37">
                  <c:v>0.338577375362465</c:v>
                </c:pt>
                <c:pt idx="38">
                  <c:v>0.364709505800035</c:v>
                </c:pt>
                <c:pt idx="39">
                  <c:v>0.391483732280013</c:v>
                </c:pt>
                <c:pt idx="40">
                  <c:v>0.418837466518795</c:v>
                </c:pt>
                <c:pt idx="41">
                  <c:v>0.446713224408557</c:v>
                </c:pt>
                <c:pt idx="42">
                  <c:v>0.475058783128675</c:v>
                </c:pt>
                <c:pt idx="43">
                  <c:v>0.503827044230509</c:v>
                </c:pt>
                <c:pt idx="44">
                  <c:v>0.532975736502798</c:v>
                </c:pt>
                <c:pt idx="45">
                  <c:v>0.562467040764502</c:v>
                </c:pt>
                <c:pt idx="46">
                  <c:v>0.592267186523457</c:v>
                </c:pt>
                <c:pt idx="47">
                  <c:v>0.622346050168125</c:v>
                </c:pt>
                <c:pt idx="48">
                  <c:v>0.652676771574937</c:v>
                </c:pt>
                <c:pt idx="49">
                  <c:v>0.683235397985891</c:v>
                </c:pt>
                <c:pt idx="50">
                  <c:v>0.714000559027816</c:v>
                </c:pt>
                <c:pt idx="51">
                  <c:v>0.744953173714994</c:v>
                </c:pt>
                <c:pt idx="52">
                  <c:v>0.776076188498723</c:v>
                </c:pt>
                <c:pt idx="53">
                  <c:v>0.807354344446456</c:v>
                </c:pt>
                <c:pt idx="54">
                  <c:v>0.838773971154445</c:v>
                </c:pt>
                <c:pt idx="55">
                  <c:v>0.870322804829801</c:v>
                </c:pt>
                <c:pt idx="56">
                  <c:v>0.901989827996532</c:v>
                </c:pt>
                <c:pt idx="57">
                  <c:v>0.933765128405659</c:v>
                </c:pt>
                <c:pt idx="58">
                  <c:v>0.965639774911</c:v>
                </c:pt>
                <c:pt idx="59">
                  <c:v>0.9976057082778</c:v>
                </c:pt>
                <c:pt idx="60">
                  <c:v>1.02965564510149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"PUT aft"</c:f>
              <c:strCache>
                <c:ptCount val="1"/>
                <c:pt idx="0">
                  <c:v>PUT aft</c:v>
                </c:pt>
              </c:strCache>
            </c:strRef>
          </c:tx>
          <c:spPr>
            <a:ln w="19050" cap="rnd">
              <a:solidFill>
                <a:srgbClr val="C62828"/>
              </a:solidFill>
              <a:prstDash val="dash"/>
              <a:round/>
            </a:ln>
            <a:effectLst/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Trade!$G$69:$BO$69</c:f>
              <c:numCache>
                <c:formatCode>#,##0.0</c:formatCode>
                <c:ptCount val="61"/>
                <c:pt idx="0">
                  <c:v>0</c:v>
                </c:pt>
                <c:pt idx="1">
                  <c:v>2189.85</c:v>
                </c:pt>
                <c:pt idx="2">
                  <c:v>4379.7</c:v>
                </c:pt>
                <c:pt idx="3">
                  <c:v>6569.55</c:v>
                </c:pt>
                <c:pt idx="4">
                  <c:v>8759.4</c:v>
                </c:pt>
                <c:pt idx="5">
                  <c:v>10949.25</c:v>
                </c:pt>
                <c:pt idx="6">
                  <c:v>13139.1</c:v>
                </c:pt>
                <c:pt idx="7">
                  <c:v>15328.95</c:v>
                </c:pt>
                <c:pt idx="8">
                  <c:v>17518.8</c:v>
                </c:pt>
                <c:pt idx="9">
                  <c:v>19708.65</c:v>
                </c:pt>
                <c:pt idx="10">
                  <c:v>21898.5</c:v>
                </c:pt>
                <c:pt idx="11">
                  <c:v>24088.35</c:v>
                </c:pt>
                <c:pt idx="12">
                  <c:v>26278.2</c:v>
                </c:pt>
                <c:pt idx="13">
                  <c:v>28468.05</c:v>
                </c:pt>
                <c:pt idx="14">
                  <c:v>30657.9</c:v>
                </c:pt>
                <c:pt idx="15">
                  <c:v>32847.75</c:v>
                </c:pt>
                <c:pt idx="16">
                  <c:v>35037.6</c:v>
                </c:pt>
                <c:pt idx="17">
                  <c:v>37227.45</c:v>
                </c:pt>
                <c:pt idx="18">
                  <c:v>39417.3</c:v>
                </c:pt>
                <c:pt idx="19">
                  <c:v>41607.15</c:v>
                </c:pt>
                <c:pt idx="20">
                  <c:v>43797</c:v>
                </c:pt>
                <c:pt idx="21">
                  <c:v>45986.85</c:v>
                </c:pt>
                <c:pt idx="22">
                  <c:v>48176.7</c:v>
                </c:pt>
                <c:pt idx="23">
                  <c:v>50366.55</c:v>
                </c:pt>
                <c:pt idx="24">
                  <c:v>52556.4</c:v>
                </c:pt>
                <c:pt idx="25">
                  <c:v>54746.25</c:v>
                </c:pt>
                <c:pt idx="26">
                  <c:v>56936.1</c:v>
                </c:pt>
                <c:pt idx="27">
                  <c:v>59125.95</c:v>
                </c:pt>
                <c:pt idx="28">
                  <c:v>61315.8</c:v>
                </c:pt>
                <c:pt idx="29">
                  <c:v>63505.65</c:v>
                </c:pt>
                <c:pt idx="30">
                  <c:v>65695.5</c:v>
                </c:pt>
                <c:pt idx="31">
                  <c:v>67885.35</c:v>
                </c:pt>
                <c:pt idx="32">
                  <c:v>70075.2</c:v>
                </c:pt>
                <c:pt idx="33">
                  <c:v>72265.05</c:v>
                </c:pt>
                <c:pt idx="34">
                  <c:v>74454.9</c:v>
                </c:pt>
                <c:pt idx="35">
                  <c:v>76644.75</c:v>
                </c:pt>
                <c:pt idx="36">
                  <c:v>78834.6</c:v>
                </c:pt>
                <c:pt idx="37">
                  <c:v>81024.45</c:v>
                </c:pt>
                <c:pt idx="38">
                  <c:v>83214.3</c:v>
                </c:pt>
                <c:pt idx="39">
                  <c:v>85404.15</c:v>
                </c:pt>
                <c:pt idx="40">
                  <c:v>87594</c:v>
                </c:pt>
                <c:pt idx="41">
                  <c:v>89783.85</c:v>
                </c:pt>
                <c:pt idx="42">
                  <c:v>91973.7</c:v>
                </c:pt>
                <c:pt idx="43">
                  <c:v>94163.55</c:v>
                </c:pt>
                <c:pt idx="44">
                  <c:v>96353.4</c:v>
                </c:pt>
                <c:pt idx="45">
                  <c:v>98543.25</c:v>
                </c:pt>
                <c:pt idx="46">
                  <c:v>100733.1</c:v>
                </c:pt>
                <c:pt idx="47">
                  <c:v>102922.95</c:v>
                </c:pt>
                <c:pt idx="48">
                  <c:v>105112.8</c:v>
                </c:pt>
                <c:pt idx="49">
                  <c:v>107302.65</c:v>
                </c:pt>
                <c:pt idx="50">
                  <c:v>109492.5</c:v>
                </c:pt>
                <c:pt idx="51">
                  <c:v>111682.35</c:v>
                </c:pt>
                <c:pt idx="52">
                  <c:v>113872.2</c:v>
                </c:pt>
                <c:pt idx="53">
                  <c:v>116062.05</c:v>
                </c:pt>
                <c:pt idx="54">
                  <c:v>118251.9</c:v>
                </c:pt>
                <c:pt idx="55">
                  <c:v>120441.75</c:v>
                </c:pt>
                <c:pt idx="56">
                  <c:v>122631.6</c:v>
                </c:pt>
                <c:pt idx="57">
                  <c:v>124821.45</c:v>
                </c:pt>
                <c:pt idx="58">
                  <c:v>127011.3</c:v>
                </c:pt>
                <c:pt idx="59">
                  <c:v>129201.15</c:v>
                </c:pt>
                <c:pt idx="60">
                  <c:v>131391</c:v>
                </c:pt>
              </c:numCache>
            </c:numRef>
          </c:xVal>
          <c:yVal>
            <c:numRef>
              <c:f>Trade!$G$82:$BO$82</c:f>
              <c:numCache>
                <c:formatCode>0.000000</c:formatCode>
                <c:ptCount val="61"/>
                <c:pt idx="0">
                  <c:v>0</c:v>
                </c:pt>
                <c:pt idx="1">
                  <c:v>6.7870964223729E-005</c:v>
                </c:pt>
                <c:pt idx="2">
                  <c:v>0.000278871788616698</c:v>
                </c:pt>
                <c:pt idx="3">
                  <c:v>0.000644914966617831</c:v>
                </c:pt>
                <c:pt idx="4">
                  <c:v>0.00117912279824898</c:v>
                </c:pt>
                <c:pt idx="5">
                  <c:v>0.00189596875186235</c:v>
                </c:pt>
                <c:pt idx="6">
                  <c:v>0.00281143667213629</c:v>
                </c:pt>
                <c:pt idx="7">
                  <c:v>0.00394320001763738</c:v>
                </c:pt>
                <c:pt idx="8">
                  <c:v>0.00531082348194683</c:v>
                </c:pt>
                <c:pt idx="9">
                  <c:v>0.00693598948160342</c:v>
                </c:pt>
                <c:pt idx="10">
                  <c:v>0.00884275204587197</c:v>
                </c:pt>
                <c:pt idx="11">
                  <c:v>0.011057820562572</c:v>
                </c:pt>
                <c:pt idx="12">
                  <c:v>0.0136108755379461</c:v>
                </c:pt>
                <c:pt idx="13">
                  <c:v>0.016534917892357</c:v>
                </c:pt>
                <c:pt idx="14">
                  <c:v>0.0198666521516356</c:v>
                </c:pt>
                <c:pt idx="15">
                  <c:v>0.023646901928769</c:v>
                </c:pt>
                <c:pt idx="16">
                  <c:v>0.0279210529079484</c:v>
                </c:pt>
                <c:pt idx="17">
                  <c:v>0.0327395135218149</c:v>
                </c:pt>
                <c:pt idx="18">
                  <c:v>0.0381581757168178</c:v>
                </c:pt>
                <c:pt idx="19">
                  <c:v>0.0442388462066842</c:v>
                </c:pt>
                <c:pt idx="20">
                  <c:v>0.0510496002236502</c:v>
                </c:pt>
                <c:pt idx="21">
                  <c:v>0.0586649815366425</c:v>
                </c:pt>
                <c:pt idx="22">
                  <c:v>0.0671659288223877</c:v>
                </c:pt>
                <c:pt idx="23">
                  <c:v>0.0766392399102358</c:v>
                </c:pt>
                <c:pt idx="24">
                  <c:v>0.0871762750584715</c:v>
                </c:pt>
                <c:pt idx="25">
                  <c:v>0.0988704152728634</c:v>
                </c:pt>
                <c:pt idx="26">
                  <c:v>0.11181245952013</c:v>
                </c:pt>
                <c:pt idx="27">
                  <c:v>0.126082480725988</c:v>
                </c:pt>
                <c:pt idx="28">
                  <c:v>0.141735080112852</c:v>
                </c:pt>
                <c:pt idx="29">
                  <c:v>0.158769935047315</c:v>
                </c:pt>
                <c:pt idx="30">
                  <c:v>0.177048014113191</c:v>
                </c:pt>
                <c:pt idx="31">
                  <c:v>0.196185052717854</c:v>
                </c:pt>
                <c:pt idx="32">
                  <c:v>0.216360225784107</c:v>
                </c:pt>
                <c:pt idx="33">
                  <c:v>0.23766631021132</c:v>
                </c:pt>
                <c:pt idx="34">
                  <c:v>0.260078473889462</c:v>
                </c:pt>
                <c:pt idx="35">
                  <c:v>0.283529004451214</c:v>
                </c:pt>
                <c:pt idx="36">
                  <c:v>0.307933453947785</c:v>
                </c:pt>
                <c:pt idx="37">
                  <c:v>0.333203151201973</c:v>
                </c:pt>
                <c:pt idx="38">
                  <c:v>0.359251585655894</c:v>
                </c:pt>
                <c:pt idx="39">
                  <c:v>0.385997592016441</c:v>
                </c:pt>
                <c:pt idx="40">
                  <c:v>0.413366765136061</c:v>
                </c:pt>
                <c:pt idx="41">
                  <c:v>0.441291881400765</c:v>
                </c:pt>
                <c:pt idx="42">
                  <c:v>0.469712770940601</c:v>
                </c:pt>
                <c:pt idx="43">
                  <c:v>0.498575901034026</c:v>
                </c:pt>
                <c:pt idx="44">
                  <c:v>0.527833824100775</c:v>
                </c:pt>
                <c:pt idx="45">
                  <c:v>0.557444579805855</c:v>
                </c:pt>
                <c:pt idx="46">
                  <c:v>0.587371102179037</c:v>
                </c:pt>
                <c:pt idx="47">
                  <c:v>0.617580659238029</c:v>
                </c:pt>
                <c:pt idx="48">
                  <c:v>0.648044338483939</c:v>
                </c:pt>
                <c:pt idx="49">
                  <c:v>0.678736583249511</c:v>
                </c:pt>
                <c:pt idx="50">
                  <c:v>0.709634780033844</c:v>
                </c:pt>
                <c:pt idx="51">
                  <c:v>0.74071889429203</c:v>
                </c:pt>
                <c:pt idx="52">
                  <c:v>0.771971150814825</c:v>
                </c:pt>
                <c:pt idx="53">
                  <c:v>0.803375754300387</c:v>
                </c:pt>
                <c:pt idx="54">
                  <c:v>0.834918645654657</c:v>
                </c:pt>
                <c:pt idx="55">
                  <c:v>0.866587289752462</c:v>
                </c:pt>
                <c:pt idx="56">
                  <c:v>0.898370490720427</c:v>
                </c:pt>
                <c:pt idx="57">
                  <c:v>0.930258231188175</c:v>
                </c:pt>
                <c:pt idx="58">
                  <c:v>0.962241532350651</c:v>
                </c:pt>
                <c:pt idx="59">
                  <c:v>0.994312332065829</c:v>
                </c:pt>
                <c:pt idx="60">
                  <c:v>1.0264633785654</c:v>
                </c:pt>
              </c:numCache>
            </c:numRef>
          </c:yVal>
          <c:smooth val="0"/>
        </c:ser>
        <c:axId val="46761222"/>
        <c:axId val="92260560"/>
      </c:scatterChart>
      <c:valAx>
        <c:axId val="467612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Strike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60560"/>
        <c:crosses val="autoZero"/>
        <c:crossBetween val="midCat"/>
      </c:valAx>
      <c:valAx>
        <c:axId val="92260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(BTC per unit)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12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18</xdr:col>
      <xdr:colOff>307440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11277720" y="5716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3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2"/>
    <col collapsed="false" customWidth="true" hidden="false" outlineLevel="0" max="67" min="7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  <c r="E3" s="3" t="s">
        <v>3</v>
      </c>
    </row>
    <row r="4" customFormat="false" ht="15" hidden="false" customHeight="false" outlineLevel="0" collapsed="false">
      <c r="A4" s="4" t="s">
        <v>4</v>
      </c>
      <c r="B4" s="5"/>
      <c r="C4" s="5"/>
      <c r="D4" s="5"/>
      <c r="E4" s="5"/>
    </row>
    <row r="5" customFormat="false" ht="15" hidden="false" customHeight="false" outlineLevel="0" collapsed="false">
      <c r="B5" s="6" t="s">
        <v>5</v>
      </c>
      <c r="C5" s="6" t="s">
        <v>6</v>
      </c>
    </row>
    <row r="6" customFormat="false" ht="15" hidden="false" customHeight="false" outlineLevel="0" collapsed="false">
      <c r="A6" s="7" t="s">
        <v>7</v>
      </c>
      <c r="B6" s="8" t="n">
        <v>65695.5</v>
      </c>
      <c r="C6" s="9" t="n">
        <f aca="false">B6</f>
        <v>65695.5</v>
      </c>
      <c r="D6" s="10" t="s">
        <v>8</v>
      </c>
      <c r="E6" s="11" t="s">
        <v>9</v>
      </c>
    </row>
    <row r="7" customFormat="false" ht="15" hidden="false" customHeight="false" outlineLevel="0" collapsed="false">
      <c r="A7" s="7" t="s">
        <v>10</v>
      </c>
      <c r="B7" s="12" t="n">
        <v>0.6</v>
      </c>
      <c r="C7" s="13" t="n">
        <f aca="false">B7</f>
        <v>0.6</v>
      </c>
      <c r="D7" s="10" t="s">
        <v>11</v>
      </c>
      <c r="E7" s="11" t="s">
        <v>12</v>
      </c>
    </row>
    <row r="8" customFormat="false" ht="15" hidden="false" customHeight="false" outlineLevel="0" collapsed="false">
      <c r="A8" s="7" t="s">
        <v>13</v>
      </c>
      <c r="B8" s="12" t="n">
        <v>1.2705</v>
      </c>
      <c r="C8" s="13" t="n">
        <f aca="false">B8</f>
        <v>1.2705</v>
      </c>
      <c r="D8" s="10" t="s">
        <v>14</v>
      </c>
      <c r="E8" s="11" t="s">
        <v>15</v>
      </c>
    </row>
    <row r="9" customFormat="false" ht="15" hidden="false" customHeight="false" outlineLevel="0" collapsed="false">
      <c r="A9" s="7" t="s">
        <v>16</v>
      </c>
      <c r="B9" s="12" t="n">
        <v>1.8413</v>
      </c>
      <c r="C9" s="13" t="n">
        <f aca="false">B9</f>
        <v>1.8413</v>
      </c>
      <c r="D9" s="10" t="s">
        <v>17</v>
      </c>
      <c r="E9" s="11" t="s">
        <v>18</v>
      </c>
    </row>
    <row r="10" customFormat="false" ht="15" hidden="false" customHeight="false" outlineLevel="0" collapsed="false">
      <c r="A10" s="7" t="s">
        <v>19</v>
      </c>
      <c r="B10" s="14" t="n">
        <v>200</v>
      </c>
      <c r="C10" s="15" t="n">
        <f aca="false">B10</f>
        <v>200</v>
      </c>
      <c r="D10" s="10" t="s">
        <v>20</v>
      </c>
      <c r="E10" s="11" t="s">
        <v>21</v>
      </c>
    </row>
    <row r="11" customFormat="false" ht="15" hidden="false" customHeight="false" outlineLevel="0" collapsed="false">
      <c r="A11" s="7" t="s">
        <v>22</v>
      </c>
      <c r="B11" s="12" t="n">
        <v>0.01</v>
      </c>
      <c r="C11" s="13" t="n">
        <f aca="false">B11</f>
        <v>0.01</v>
      </c>
      <c r="D11" s="10" t="s">
        <v>23</v>
      </c>
      <c r="E11" s="11" t="s">
        <v>24</v>
      </c>
    </row>
    <row r="12" customFormat="false" ht="15" hidden="false" customHeight="false" outlineLevel="0" collapsed="false">
      <c r="A12" s="7" t="s">
        <v>25</v>
      </c>
      <c r="B12" s="12" t="n">
        <v>0.003</v>
      </c>
      <c r="C12" s="13" t="n">
        <f aca="false">B12</f>
        <v>0.003</v>
      </c>
      <c r="D12" s="10" t="s">
        <v>26</v>
      </c>
      <c r="E12" s="11" t="s">
        <v>27</v>
      </c>
    </row>
    <row r="13" customFormat="false" ht="15" hidden="false" customHeight="false" outlineLevel="0" collapsed="false">
      <c r="A13" s="7" t="s">
        <v>28</v>
      </c>
      <c r="B13" s="16" t="n">
        <f aca="false">EXP(GAMMALN(1/B8)+GAMMALN(B9/B8)-GAMMALN(1/B8+B9/B8))</f>
        <v>0.928839966068458</v>
      </c>
      <c r="C13" s="17" t="n">
        <f aca="false">B13</f>
        <v>0.928839966068458</v>
      </c>
      <c r="D13" s="10" t="s">
        <v>29</v>
      </c>
      <c r="E13" s="11" t="s">
        <v>30</v>
      </c>
    </row>
    <row r="14" customFormat="false" ht="15" hidden="false" customHeight="false" outlineLevel="0" collapsed="false">
      <c r="A14" s="7" t="s">
        <v>31</v>
      </c>
      <c r="B14" s="12" t="n">
        <v>0</v>
      </c>
      <c r="C14" s="16" t="n">
        <f aca="false">MAX(-0.95,MIN(0.95,B14-$B$26*lam*($B$29/N_)/0.01*ATMp/MAX(Xs,0.000000001)+$B$30*lam*(B39/N_)/0.01*ATMp/MAX(Xb,0.000000001)))</f>
        <v>-0.0778408948634212</v>
      </c>
      <c r="D14" s="10" t="s">
        <v>32</v>
      </c>
      <c r="E14" s="11" t="s">
        <v>33</v>
      </c>
    </row>
    <row r="15" customFormat="false" ht="15" hidden="false" customHeight="false" outlineLevel="0" collapsed="false">
      <c r="A15" s="7" t="s">
        <v>34</v>
      </c>
      <c r="B15" s="16" t="n">
        <f aca="false">B7*(1+B14)</f>
        <v>0.6</v>
      </c>
      <c r="C15" s="16" t="n">
        <f aca="false">B7*(1+C14)</f>
        <v>0.553295463081947</v>
      </c>
      <c r="D15" s="10" t="s">
        <v>35</v>
      </c>
      <c r="E15" s="11" t="s">
        <v>36</v>
      </c>
    </row>
    <row r="16" customFormat="false" ht="15" hidden="false" customHeight="false" outlineLevel="0" collapsed="false">
      <c r="A16" s="7" t="s">
        <v>37</v>
      </c>
      <c r="B16" s="16" t="n">
        <f aca="false">B7*(1-B14)</f>
        <v>0.6</v>
      </c>
      <c r="C16" s="16" t="n">
        <f aca="false">B7*(1-C14)</f>
        <v>0.646704536918053</v>
      </c>
      <c r="D16" s="10" t="s">
        <v>38</v>
      </c>
      <c r="E16" s="11" t="s">
        <v>39</v>
      </c>
    </row>
    <row r="17" customFormat="false" ht="15" hidden="false" customHeight="false" outlineLevel="0" collapsed="false">
      <c r="A17" s="7" t="s">
        <v>40</v>
      </c>
      <c r="B17" s="16" t="n">
        <f aca="false">(1+(1/B16)^B8)^(-(B9+1)/B8)</f>
        <v>0.0914859757900471</v>
      </c>
      <c r="C17" s="16" t="n">
        <f aca="false">(1+(1/C16)^B8)^(-(B9+1)/B8)</f>
        <v>0.10497916993886</v>
      </c>
      <c r="D17" s="10" t="s">
        <v>41</v>
      </c>
      <c r="E17" s="11" t="s">
        <v>42</v>
      </c>
    </row>
    <row r="18" customFormat="false" ht="15" hidden="false" customHeight="false" outlineLevel="0" collapsed="false">
      <c r="A18" s="7" t="s">
        <v>43</v>
      </c>
      <c r="B18" s="16" t="n">
        <f aca="false">(B16/B8)*Bfn*(1-BETADIST(1/(1+B16^B8),1/B8,B9/B8))</f>
        <v>0.0727183316127731</v>
      </c>
      <c r="C18" s="16" t="n">
        <f aca="false">(C16/B8)*Bfn*(1-BETADIST(1/(1+C16^B8),1/B8,B9/B8))</f>
        <v>0.0860096569698853</v>
      </c>
      <c r="D18" s="10" t="s">
        <v>44</v>
      </c>
      <c r="E18" s="11" t="s">
        <v>43</v>
      </c>
    </row>
    <row r="19" customFormat="false" ht="15" hidden="false" customHeight="false" outlineLevel="0" collapsed="false">
      <c r="A19" s="7" t="s">
        <v>45</v>
      </c>
      <c r="B19" s="16" t="n">
        <f aca="false">B15*Bfn/B8</f>
        <v>0.43864933462501</v>
      </c>
      <c r="C19" s="16" t="n">
        <f aca="false">C15*Bfn/B8</f>
        <v>0.404504477886555</v>
      </c>
      <c r="D19" s="10" t="s">
        <v>46</v>
      </c>
      <c r="E19" s="11" t="s">
        <v>47</v>
      </c>
    </row>
    <row r="20" customFormat="false" ht="15" hidden="false" customHeight="false" outlineLevel="0" collapsed="false">
      <c r="A20" s="7" t="s">
        <v>48</v>
      </c>
      <c r="B20" s="16" t="n">
        <f aca="false">(B16*Bfn/B8-B18-B17)/(1-B17)</f>
        <v>0.302081222643589</v>
      </c>
      <c r="C20" s="16" t="n">
        <f aca="false">(C16*Bfn/B8-C18-C17)/(1-C17)</f>
        <v>0.314859001030701</v>
      </c>
      <c r="D20" s="10" t="s">
        <v>49</v>
      </c>
      <c r="E20" s="11" t="s">
        <v>48</v>
      </c>
    </row>
    <row r="21" customFormat="false" ht="15" hidden="false" customHeight="false" outlineLevel="0" collapsed="false">
      <c r="A21" s="7" t="s">
        <v>50</v>
      </c>
      <c r="B21" s="16" t="n">
        <f aca="false">B20/(B19+B20)</f>
        <v>0.407815257085513</v>
      </c>
      <c r="C21" s="16" t="n">
        <f aca="false">C20/(C19+C20)</f>
        <v>0.437691112015596</v>
      </c>
      <c r="D21" s="10" t="s">
        <v>51</v>
      </c>
      <c r="E21" s="11" t="s">
        <v>52</v>
      </c>
    </row>
    <row r="22" customFormat="false" ht="15" hidden="false" customHeight="false" outlineLevel="0" collapsed="false">
      <c r="A22" s="7" t="s">
        <v>53</v>
      </c>
      <c r="B22" s="16" t="n">
        <f aca="false">1-B21</f>
        <v>0.592184742914487</v>
      </c>
      <c r="C22" s="16" t="n">
        <f aca="false">1-C21</f>
        <v>0.562308887984404</v>
      </c>
      <c r="D22" s="10" t="s">
        <v>54</v>
      </c>
      <c r="E22" s="11" t="s">
        <v>53</v>
      </c>
    </row>
    <row r="23" customFormat="false" ht="15" hidden="false" customHeight="false" outlineLevel="0" collapsed="false">
      <c r="A23" s="7" t="s">
        <v>55</v>
      </c>
      <c r="B23" s="16" t="n">
        <f aca="false">B21*(B15/B8)*Bfn</f>
        <v>0.178887891170488</v>
      </c>
      <c r="C23" s="16" t="n">
        <f aca="false">C21*(C15/B8)*Bfn</f>
        <v>0.177048014741454</v>
      </c>
      <c r="D23" s="10" t="s">
        <v>56</v>
      </c>
      <c r="E23" s="11" t="s">
        <v>57</v>
      </c>
    </row>
    <row r="25" customFormat="false" ht="15" hidden="false" customHeight="false" outlineLevel="0" collapsed="false">
      <c r="A25" s="4" t="s">
        <v>58</v>
      </c>
      <c r="B25" s="5"/>
      <c r="C25" s="5"/>
      <c r="D25" s="5"/>
      <c r="E25" s="5"/>
    </row>
    <row r="26" customFormat="false" ht="15" hidden="false" customHeight="false" outlineLevel="0" collapsed="false">
      <c r="A26" s="7" t="s">
        <v>59</v>
      </c>
      <c r="B26" s="18" t="n">
        <v>1</v>
      </c>
      <c r="D26" s="10" t="s">
        <v>60</v>
      </c>
      <c r="E26" s="11" t="s">
        <v>61</v>
      </c>
    </row>
    <row r="27" customFormat="false" ht="15" hidden="false" customHeight="false" outlineLevel="0" collapsed="false">
      <c r="A27" s="7" t="s">
        <v>62</v>
      </c>
      <c r="B27" s="19" t="n">
        <v>0.1</v>
      </c>
      <c r="C27" s="20" t="str">
        <f aca="false">IF(IF($B$26=1,B27&gt;0,B27&lt;0),"","OTM only")</f>
        <v/>
      </c>
      <c r="D27" s="10" t="s">
        <v>63</v>
      </c>
      <c r="E27" s="11" t="s">
        <v>64</v>
      </c>
    </row>
    <row r="28" customFormat="false" ht="15" hidden="false" customHeight="false" outlineLevel="0" collapsed="false">
      <c r="A28" s="7" t="s">
        <v>65</v>
      </c>
      <c r="B28" s="19" t="n">
        <v>0.5</v>
      </c>
      <c r="D28" s="10" t="s">
        <v>66</v>
      </c>
      <c r="E28" s="11" t="s">
        <v>67</v>
      </c>
    </row>
    <row r="29" customFormat="false" ht="15" hidden="false" customHeight="false" outlineLevel="0" collapsed="false">
      <c r="A29" s="7" t="s">
        <v>68</v>
      </c>
      <c r="B29" s="21" t="n">
        <v>5</v>
      </c>
    </row>
    <row r="30" customFormat="false" ht="15" hidden="false" customHeight="false" outlineLevel="0" collapsed="false">
      <c r="A30" s="7" t="s">
        <v>69</v>
      </c>
      <c r="B30" s="18" t="n">
        <v>-1</v>
      </c>
      <c r="D30" s="10" t="s">
        <v>70</v>
      </c>
      <c r="E30" s="11" t="s">
        <v>71</v>
      </c>
    </row>
    <row r="31" customFormat="false" ht="15" hidden="false" customHeight="false" outlineLevel="0" collapsed="false">
      <c r="A31" s="7" t="s">
        <v>72</v>
      </c>
      <c r="B31" s="19" t="n">
        <v>-0.1</v>
      </c>
      <c r="C31" s="20" t="str">
        <f aca="false">IF(IF($B$30=1,B31&gt;0,B31&lt;0),"","OTM only")</f>
        <v/>
      </c>
    </row>
    <row r="32" customFormat="false" ht="15" hidden="false" customHeight="false" outlineLevel="0" collapsed="false">
      <c r="A32" s="7" t="s">
        <v>73</v>
      </c>
      <c r="B32" s="19"/>
    </row>
    <row r="34" customFormat="false" ht="15" hidden="false" customHeight="false" outlineLevel="0" collapsed="false">
      <c r="A34" s="22" t="s">
        <v>74</v>
      </c>
      <c r="B34" s="23" t="n">
        <f aca="false">PrSI-PrSO</f>
        <v>0.0793657920260936</v>
      </c>
      <c r="D34" s="10" t="s">
        <v>75</v>
      </c>
      <c r="E34" s="11" t="s">
        <v>76</v>
      </c>
    </row>
    <row r="35" customFormat="false" ht="15" hidden="false" customHeight="false" outlineLevel="0" collapsed="false">
      <c r="A35" s="22" t="s">
        <v>77</v>
      </c>
      <c r="B35" s="24" t="n">
        <f aca="false">0.5*lam*(B29/N_)/0.01*ATMp/MAX(Xs,0.000000001)</f>
        <v>0.0281745898648113</v>
      </c>
      <c r="D35" s="10" t="s">
        <v>78</v>
      </c>
      <c r="E35" s="11" t="s">
        <v>79</v>
      </c>
    </row>
    <row r="36" customFormat="false" ht="15" hidden="false" customHeight="false" outlineLevel="0" collapsed="false">
      <c r="A36" s="22" t="s">
        <v>80</v>
      </c>
      <c r="B36" s="23" t="n">
        <f aca="false">IF(B35&gt;=1,0,B29*B34*(1-fee)*(1-B35))</f>
        <v>0.384491521531516</v>
      </c>
      <c r="D36" s="10" t="s">
        <v>81</v>
      </c>
      <c r="E36" s="11" t="s">
        <v>82</v>
      </c>
    </row>
    <row r="37" customFormat="false" ht="15" hidden="false" customHeight="false" outlineLevel="0" collapsed="false">
      <c r="A37" s="22" t="s">
        <v>83</v>
      </c>
      <c r="B37" s="23" t="n">
        <f aca="false">PrBI-PrBO</f>
        <v>0.125625481854102</v>
      </c>
      <c r="D37" s="10" t="s">
        <v>84</v>
      </c>
      <c r="E37" s="11" t="s">
        <v>85</v>
      </c>
    </row>
    <row r="38" customFormat="false" ht="15" hidden="false" customHeight="false" outlineLevel="0" collapsed="false">
      <c r="A38" s="22" t="s">
        <v>86</v>
      </c>
      <c r="B38" s="24" t="n">
        <f aca="false">0.5*lam*(Q0_/N_)/0.01*ATMp/MAX(Xb,0.000000001)</f>
        <v>0.0108956273079768</v>
      </c>
      <c r="D38" s="10" t="s">
        <v>87</v>
      </c>
      <c r="E38" s="11" t="s">
        <v>88</v>
      </c>
    </row>
    <row r="39" customFormat="false" ht="15" hidden="false" customHeight="false" outlineLevel="0" collapsed="false">
      <c r="A39" s="22" t="s">
        <v>89</v>
      </c>
      <c r="B39" s="23" t="n">
        <f aca="false">IF(OR(B35&gt;=1,B38&gt;=1),0,B36*(1-fee)/(B37*(1+B38)))</f>
        <v>3.01854647834317</v>
      </c>
      <c r="D39" s="10" t="s">
        <v>90</v>
      </c>
      <c r="E39" s="11" t="s">
        <v>91</v>
      </c>
    </row>
    <row r="40" customFormat="false" ht="15" hidden="false" customHeight="false" outlineLevel="0" collapsed="false">
      <c r="A40" s="22" t="s">
        <v>92</v>
      </c>
      <c r="B40" s="24" t="n">
        <f aca="false">IFERROR(1-B39*B37/(B29*B34),1)</f>
        <v>0.0444085640418258</v>
      </c>
      <c r="D40" s="10" t="s">
        <v>93</v>
      </c>
      <c r="E40" s="11" t="s">
        <v>94</v>
      </c>
    </row>
    <row r="41" customFormat="false" ht="15" hidden="false" customHeight="false" outlineLevel="0" collapsed="false">
      <c r="A41" s="22" t="s">
        <v>95</v>
      </c>
      <c r="B41" s="25" t="str">
        <f aca="false">IF(OR(B35&gt;=1,B38&gt;=1),"REJECTED","filled")</f>
        <v>filled</v>
      </c>
    </row>
    <row r="43" customFormat="false" ht="15" hidden="false" customHeight="false" outlineLevel="0" collapsed="false">
      <c r="A43" s="4" t="s">
        <v>96</v>
      </c>
      <c r="B43" s="5"/>
      <c r="C43" s="5"/>
      <c r="D43" s="5"/>
      <c r="E43" s="5"/>
    </row>
    <row r="44" customFormat="false" ht="15" hidden="false" customHeight="false" outlineLevel="0" collapsed="false">
      <c r="A44" s="7" t="s">
        <v>97</v>
      </c>
      <c r="B44" s="16" t="n">
        <f aca="false">1/(1+(sR/MAX(ABS($B$27),0.000000001))^B8)</f>
        <v>0.0930938873186311</v>
      </c>
      <c r="D44" s="10" t="s">
        <v>98</v>
      </c>
      <c r="E44" s="11" t="s">
        <v>99</v>
      </c>
    </row>
    <row r="45" customFormat="false" ht="15" hidden="false" customHeight="false" outlineLevel="0" collapsed="false">
      <c r="A45" s="7" t="s">
        <v>100</v>
      </c>
      <c r="B45" s="16" t="n">
        <f aca="false">1/(1+(sL/MAX(ABS($B$27),0.000000001))^B8)</f>
        <v>0.0930938873186311</v>
      </c>
      <c r="E45" s="11" t="s">
        <v>101</v>
      </c>
    </row>
    <row r="46" customFormat="false" ht="15" hidden="false" customHeight="false" outlineLevel="0" collapsed="false">
      <c r="A46" s="7" t="s">
        <v>102</v>
      </c>
      <c r="B46" s="16" t="n">
        <f aca="false">qR*(sR/B8)*Bfn*(1-BETADIST(PrSIu,1/B8,B9/B8))</f>
        <v>0.141832832790596</v>
      </c>
      <c r="D46" s="10" t="s">
        <v>103</v>
      </c>
      <c r="E46" s="11" t="s">
        <v>104</v>
      </c>
    </row>
    <row r="47" customFormat="false" ht="15" hidden="false" customHeight="false" outlineLevel="0" collapsed="false">
      <c r="A47" s="7" t="s">
        <v>105</v>
      </c>
      <c r="B47" s="16" t="n">
        <f aca="false">IF(ABS($B$27)&gt;=1,0,qL/(1-G1_)*((sL/B8)*Bfn*(1-BETADIST(PrSIv,1/B8,B9/B8))-I1_-G1_*(1-ABS($B$27))))</f>
        <v>0.125625481854102</v>
      </c>
      <c r="D47" s="10" t="s">
        <v>106</v>
      </c>
      <c r="E47" s="11" t="s">
        <v>107</v>
      </c>
    </row>
    <row r="48" customFormat="false" ht="15" hidden="false" customHeight="false" outlineLevel="0" collapsed="false">
      <c r="A48" s="7" t="s">
        <v>108</v>
      </c>
      <c r="B48" s="16" t="n">
        <f aca="false">IF($B$26=1,IF($B$27&gt;=0,PrSIC,-$B$27+PrSIP),IF($B$27&lt;=0,PrSIP,$B$27+PrSIC))</f>
        <v>0.141832832790596</v>
      </c>
      <c r="D48" s="10" t="s">
        <v>109</v>
      </c>
      <c r="E48" s="11" t="s">
        <v>110</v>
      </c>
    </row>
    <row r="49" customFormat="false" ht="15" hidden="false" customHeight="false" outlineLevel="0" collapsed="false">
      <c r="A49" s="7" t="s">
        <v>111</v>
      </c>
      <c r="B49" s="16" t="n">
        <f aca="false">1/(1+(sR/MAX(ABS($B$28),0.000000001))^B8)</f>
        <v>0.442347672264447</v>
      </c>
      <c r="D49" s="10" t="s">
        <v>98</v>
      </c>
      <c r="E49" s="11" t="s">
        <v>99</v>
      </c>
    </row>
    <row r="50" customFormat="false" ht="15" hidden="false" customHeight="false" outlineLevel="0" collapsed="false">
      <c r="A50" s="7" t="s">
        <v>112</v>
      </c>
      <c r="B50" s="16" t="n">
        <f aca="false">1/(1+(sL/MAX(ABS($B$28),0.000000001))^B8)</f>
        <v>0.442347672264447</v>
      </c>
      <c r="E50" s="11" t="s">
        <v>101</v>
      </c>
    </row>
    <row r="51" customFormat="false" ht="15" hidden="false" customHeight="false" outlineLevel="0" collapsed="false">
      <c r="A51" s="7" t="s">
        <v>113</v>
      </c>
      <c r="B51" s="16" t="n">
        <f aca="false">qR*(sR/B8)*Bfn*(1-BETADIST(PrSOu,1/B8,B9/B8))</f>
        <v>0.0624670407645022</v>
      </c>
      <c r="D51" s="10" t="s">
        <v>103</v>
      </c>
      <c r="E51" s="11" t="s">
        <v>104</v>
      </c>
    </row>
    <row r="52" customFormat="false" ht="15" hidden="false" customHeight="false" outlineLevel="0" collapsed="false">
      <c r="A52" s="7" t="s">
        <v>114</v>
      </c>
      <c r="B52" s="16" t="n">
        <f aca="false">IF(ABS($B$28)&gt;=1,0,qL/(1-G1_)*((sL/B8)*Bfn*(1-BETADIST(PrSOv,1/B8,B9/B8))-I1_-G1_*(1-ABS($B$28))))</f>
        <v>0.0226268637408821</v>
      </c>
      <c r="D52" s="10" t="s">
        <v>106</v>
      </c>
      <c r="E52" s="11" t="s">
        <v>107</v>
      </c>
    </row>
    <row r="53" customFormat="false" ht="15" hidden="false" customHeight="false" outlineLevel="0" collapsed="false">
      <c r="A53" s="7" t="s">
        <v>115</v>
      </c>
      <c r="B53" s="16" t="n">
        <f aca="false">IF($B$28="",0,IF($B$26=1,IF($B$28&gt;=0,PrSOC,-$B$28+PrSOP),IF($B$28&lt;=0,PrSOP,$B$28+PrSOC)))</f>
        <v>0.0624670407645022</v>
      </c>
      <c r="D53" s="10" t="s">
        <v>109</v>
      </c>
      <c r="E53" s="11" t="s">
        <v>110</v>
      </c>
    </row>
    <row r="54" customFormat="false" ht="15" hidden="false" customHeight="false" outlineLevel="0" collapsed="false">
      <c r="A54" s="7" t="s">
        <v>116</v>
      </c>
      <c r="B54" s="16" t="n">
        <f aca="false">1/(1+(sR/MAX(ABS($B$31),0.000000001))^B8)</f>
        <v>0.0930938873186311</v>
      </c>
      <c r="D54" s="10" t="s">
        <v>98</v>
      </c>
      <c r="E54" s="11" t="s">
        <v>99</v>
      </c>
    </row>
    <row r="55" customFormat="false" ht="15" hidden="false" customHeight="false" outlineLevel="0" collapsed="false">
      <c r="A55" s="7" t="s">
        <v>117</v>
      </c>
      <c r="B55" s="16" t="n">
        <f aca="false">1/(1+(sL/MAX(ABS($B$31),0.000000001))^B8)</f>
        <v>0.0930938873186311</v>
      </c>
      <c r="E55" s="11" t="s">
        <v>101</v>
      </c>
    </row>
    <row r="56" customFormat="false" ht="15" hidden="false" customHeight="false" outlineLevel="0" collapsed="false">
      <c r="A56" s="7" t="s">
        <v>118</v>
      </c>
      <c r="B56" s="16" t="n">
        <f aca="false">qR*(sR/B8)*Bfn*(1-BETADIST(PrBIu,1/B8,B9/B8))</f>
        <v>0.141832832790596</v>
      </c>
      <c r="D56" s="10" t="s">
        <v>103</v>
      </c>
      <c r="E56" s="11" t="s">
        <v>104</v>
      </c>
    </row>
    <row r="57" customFormat="false" ht="15" hidden="false" customHeight="false" outlineLevel="0" collapsed="false">
      <c r="A57" s="7" t="s">
        <v>119</v>
      </c>
      <c r="B57" s="16" t="n">
        <f aca="false">IF(ABS($B$31)&gt;=1,0,qL/(1-G1_)*((sL/B8)*Bfn*(1-BETADIST(PrBIv,1/B8,B9/B8))-I1_-G1_*(1-ABS($B$31))))</f>
        <v>0.125625481854102</v>
      </c>
      <c r="D57" s="10" t="s">
        <v>106</v>
      </c>
      <c r="E57" s="11" t="s">
        <v>107</v>
      </c>
    </row>
    <row r="58" customFormat="false" ht="15" hidden="false" customHeight="false" outlineLevel="0" collapsed="false">
      <c r="A58" s="7" t="s">
        <v>120</v>
      </c>
      <c r="B58" s="16" t="n">
        <f aca="false">IF($B$30=1,IF($B$31&gt;=0,PrBIC,-$B$31+PrBIP),IF($B$31&lt;=0,PrBIP,$B$31+PrBIC))</f>
        <v>0.125625481854102</v>
      </c>
      <c r="D58" s="10" t="s">
        <v>109</v>
      </c>
      <c r="E58" s="11" t="s">
        <v>110</v>
      </c>
    </row>
    <row r="59" customFormat="false" ht="15" hidden="false" customHeight="false" outlineLevel="0" collapsed="false">
      <c r="A59" s="7" t="s">
        <v>121</v>
      </c>
      <c r="B59" s="16" t="n">
        <f aca="false">1/(1+(sR/MAX(ABS($B$32),0.000000001))^B8)</f>
        <v>7.03653474365807E-012</v>
      </c>
      <c r="D59" s="10" t="s">
        <v>98</v>
      </c>
      <c r="E59" s="11" t="s">
        <v>99</v>
      </c>
    </row>
    <row r="60" customFormat="false" ht="15" hidden="false" customHeight="false" outlineLevel="0" collapsed="false">
      <c r="A60" s="7" t="s">
        <v>122</v>
      </c>
      <c r="B60" s="16" t="n">
        <f aca="false">1/(1+(sL/MAX(ABS($B$32),0.000000001))^B8)</f>
        <v>7.03653474365807E-012</v>
      </c>
      <c r="E60" s="11" t="s">
        <v>101</v>
      </c>
    </row>
    <row r="61" customFormat="false" ht="15" hidden="false" customHeight="false" outlineLevel="0" collapsed="false">
      <c r="A61" s="7" t="s">
        <v>123</v>
      </c>
      <c r="B61" s="16" t="n">
        <f aca="false">qR*(sR/B8)*Bfn*(1-BETADIST(PrBOu,1/B8,B9/B8))</f>
        <v>0.178887890762672</v>
      </c>
      <c r="D61" s="10" t="s">
        <v>103</v>
      </c>
      <c r="E61" s="11" t="s">
        <v>104</v>
      </c>
    </row>
    <row r="62" customFormat="false" ht="15" hidden="false" customHeight="false" outlineLevel="0" collapsed="false">
      <c r="A62" s="7" t="s">
        <v>124</v>
      </c>
      <c r="B62" s="16" t="n">
        <f aca="false">IF(ABS($B$32)&gt;=1,0,qL/(1-G1_)*((sL/B8)*Bfn*(1-BETADIST(PrBOv,1/B8,B9/B8))-I1_-G1_*(1-ABS($B$32))))</f>
        <v>0.178887890518671</v>
      </c>
      <c r="D62" s="10" t="s">
        <v>106</v>
      </c>
      <c r="E62" s="11" t="s">
        <v>107</v>
      </c>
    </row>
    <row r="63" customFormat="false" ht="15" hidden="false" customHeight="false" outlineLevel="0" collapsed="false">
      <c r="A63" s="7" t="s">
        <v>125</v>
      </c>
      <c r="B63" s="16" t="n">
        <f aca="false">IF($B$32="",0,IF($B$30=1,IF($B$32&gt;=0,PrBOC,-$B$32+PrBOP),IF($B$32&lt;=0,PrBOP,$B$32+PrBOC)))</f>
        <v>0</v>
      </c>
      <c r="D63" s="10" t="s">
        <v>109</v>
      </c>
      <c r="E63" s="11" t="s">
        <v>110</v>
      </c>
    </row>
    <row r="64" customFormat="false" ht="15" hidden="false" customHeight="false" outlineLevel="0" collapsed="false">
      <c r="A64" s="7" t="s">
        <v>126</v>
      </c>
      <c r="B64" s="16" t="n">
        <f aca="false">PrSI-IF($B$28="",0,PrSO)</f>
        <v>0.0793657920260936</v>
      </c>
      <c r="D64" s="10" t="s">
        <v>127</v>
      </c>
      <c r="E64" s="11" t="s">
        <v>128</v>
      </c>
    </row>
    <row r="65" customFormat="false" ht="15" hidden="false" customHeight="false" outlineLevel="0" collapsed="false">
      <c r="A65" s="7" t="s">
        <v>129</v>
      </c>
      <c r="B65" s="16" t="n">
        <f aca="false">PrBI-IF($B$32="",0,PrBO)</f>
        <v>0.125625481854102</v>
      </c>
      <c r="D65" s="10" t="s">
        <v>130</v>
      </c>
      <c r="E65" s="11" t="s">
        <v>131</v>
      </c>
    </row>
    <row r="66" customFormat="false" ht="15" hidden="false" customHeight="false" outlineLevel="0" collapsed="false">
      <c r="A66" s="7" t="s">
        <v>132</v>
      </c>
      <c r="B66" s="16" t="n">
        <f aca="false">IF(B37&gt;0,B36/B37,0)</f>
        <v>3.06061728764594</v>
      </c>
      <c r="D66" s="10" t="s">
        <v>133</v>
      </c>
      <c r="E66" s="11" t="s">
        <v>134</v>
      </c>
    </row>
    <row r="68" customFormat="false" ht="15" hidden="false" customHeight="false" outlineLevel="0" collapsed="false">
      <c r="A68" s="4" t="s">
        <v>135</v>
      </c>
      <c r="B68" s="5"/>
      <c r="C68" s="5"/>
      <c r="D68" s="5"/>
      <c r="E68" s="5"/>
      <c r="G68" s="26" t="s">
        <v>136</v>
      </c>
    </row>
    <row r="69" customFormat="false" ht="15" hidden="false" customHeight="false" outlineLevel="0" collapsed="false">
      <c r="A69" s="3" t="s">
        <v>137</v>
      </c>
      <c r="D69" s="10" t="s">
        <v>138</v>
      </c>
      <c r="E69" s="11" t="s">
        <v>139</v>
      </c>
      <c r="G69" s="27" t="n">
        <f aca="false">$B$6*(0/60)*2</f>
        <v>0</v>
      </c>
      <c r="H69" s="27" t="n">
        <f aca="false">$B$6*(1/60)*2</f>
        <v>2189.85</v>
      </c>
      <c r="I69" s="27" t="n">
        <f aca="false">$B$6*(2/60)*2</f>
        <v>4379.7</v>
      </c>
      <c r="J69" s="27" t="n">
        <f aca="false">$B$6*(3/60)*2</f>
        <v>6569.55</v>
      </c>
      <c r="K69" s="27" t="n">
        <f aca="false">$B$6*(4/60)*2</f>
        <v>8759.4</v>
      </c>
      <c r="L69" s="27" t="n">
        <f aca="false">$B$6*(5/60)*2</f>
        <v>10949.25</v>
      </c>
      <c r="M69" s="27" t="n">
        <f aca="false">$B$6*(6/60)*2</f>
        <v>13139.1</v>
      </c>
      <c r="N69" s="27" t="n">
        <f aca="false">$B$6*(7/60)*2</f>
        <v>15328.95</v>
      </c>
      <c r="O69" s="27" t="n">
        <f aca="false">$B$6*(8/60)*2</f>
        <v>17518.8</v>
      </c>
      <c r="P69" s="27" t="n">
        <f aca="false">$B$6*(9/60)*2</f>
        <v>19708.65</v>
      </c>
      <c r="Q69" s="27" t="n">
        <f aca="false">$B$6*(10/60)*2</f>
        <v>21898.5</v>
      </c>
      <c r="R69" s="27" t="n">
        <f aca="false">$B$6*(11/60)*2</f>
        <v>24088.35</v>
      </c>
      <c r="S69" s="27" t="n">
        <f aca="false">$B$6*(12/60)*2</f>
        <v>26278.2</v>
      </c>
      <c r="T69" s="27" t="n">
        <f aca="false">$B$6*(13/60)*2</f>
        <v>28468.05</v>
      </c>
      <c r="U69" s="27" t="n">
        <f aca="false">$B$6*(14/60)*2</f>
        <v>30657.9</v>
      </c>
      <c r="V69" s="27" t="n">
        <f aca="false">$B$6*(15/60)*2</f>
        <v>32847.75</v>
      </c>
      <c r="W69" s="27" t="n">
        <f aca="false">$B$6*(16/60)*2</f>
        <v>35037.6</v>
      </c>
      <c r="X69" s="27" t="n">
        <f aca="false">$B$6*(17/60)*2</f>
        <v>37227.45</v>
      </c>
      <c r="Y69" s="27" t="n">
        <f aca="false">$B$6*(18/60)*2</f>
        <v>39417.3</v>
      </c>
      <c r="Z69" s="27" t="n">
        <f aca="false">$B$6*(19/60)*2</f>
        <v>41607.15</v>
      </c>
      <c r="AA69" s="27" t="n">
        <f aca="false">$B$6*(20/60)*2</f>
        <v>43797</v>
      </c>
      <c r="AB69" s="27" t="n">
        <f aca="false">$B$6*(21/60)*2</f>
        <v>45986.85</v>
      </c>
      <c r="AC69" s="27" t="n">
        <f aca="false">$B$6*(22/60)*2</f>
        <v>48176.7</v>
      </c>
      <c r="AD69" s="27" t="n">
        <f aca="false">$B$6*(23/60)*2</f>
        <v>50366.55</v>
      </c>
      <c r="AE69" s="27" t="n">
        <f aca="false">$B$6*(24/60)*2</f>
        <v>52556.4</v>
      </c>
      <c r="AF69" s="27" t="n">
        <f aca="false">$B$6*(25/60)*2</f>
        <v>54746.25</v>
      </c>
      <c r="AG69" s="27" t="n">
        <f aca="false">$B$6*(26/60)*2</f>
        <v>56936.1</v>
      </c>
      <c r="AH69" s="27" t="n">
        <f aca="false">$B$6*(27/60)*2</f>
        <v>59125.95</v>
      </c>
      <c r="AI69" s="27" t="n">
        <f aca="false">$B$6*(28/60)*2</f>
        <v>61315.8</v>
      </c>
      <c r="AJ69" s="27" t="n">
        <f aca="false">$B$6*(29/60)*2</f>
        <v>63505.65</v>
      </c>
      <c r="AK69" s="27" t="n">
        <f aca="false">$B$6*(30/60)*2</f>
        <v>65695.5</v>
      </c>
      <c r="AL69" s="27" t="n">
        <f aca="false">$B$6*(31/60)*2</f>
        <v>67885.35</v>
      </c>
      <c r="AM69" s="27" t="n">
        <f aca="false">$B$6*(32/60)*2</f>
        <v>70075.2</v>
      </c>
      <c r="AN69" s="27" t="n">
        <f aca="false">$B$6*(33/60)*2</f>
        <v>72265.05</v>
      </c>
      <c r="AO69" s="27" t="n">
        <f aca="false">$B$6*(34/60)*2</f>
        <v>74454.9</v>
      </c>
      <c r="AP69" s="27" t="n">
        <f aca="false">$B$6*(35/60)*2</f>
        <v>76644.75</v>
      </c>
      <c r="AQ69" s="27" t="n">
        <f aca="false">$B$6*(36/60)*2</f>
        <v>78834.6</v>
      </c>
      <c r="AR69" s="27" t="n">
        <f aca="false">$B$6*(37/60)*2</f>
        <v>81024.45</v>
      </c>
      <c r="AS69" s="27" t="n">
        <f aca="false">$B$6*(38/60)*2</f>
        <v>83214.3</v>
      </c>
      <c r="AT69" s="27" t="n">
        <f aca="false">$B$6*(39/60)*2</f>
        <v>85404.15</v>
      </c>
      <c r="AU69" s="27" t="n">
        <f aca="false">$B$6*(40/60)*2</f>
        <v>87594</v>
      </c>
      <c r="AV69" s="27" t="n">
        <f aca="false">$B$6*(41/60)*2</f>
        <v>89783.85</v>
      </c>
      <c r="AW69" s="27" t="n">
        <f aca="false">$B$6*(42/60)*2</f>
        <v>91973.7</v>
      </c>
      <c r="AX69" s="27" t="n">
        <f aca="false">$B$6*(43/60)*2</f>
        <v>94163.55</v>
      </c>
      <c r="AY69" s="27" t="n">
        <f aca="false">$B$6*(44/60)*2</f>
        <v>96353.4</v>
      </c>
      <c r="AZ69" s="27" t="n">
        <f aca="false">$B$6*(45/60)*2</f>
        <v>98543.25</v>
      </c>
      <c r="BA69" s="27" t="n">
        <f aca="false">$B$6*(46/60)*2</f>
        <v>100733.1</v>
      </c>
      <c r="BB69" s="27" t="n">
        <f aca="false">$B$6*(47/60)*2</f>
        <v>102922.95</v>
      </c>
      <c r="BC69" s="27" t="n">
        <f aca="false">$B$6*(48/60)*2</f>
        <v>105112.8</v>
      </c>
      <c r="BD69" s="27" t="n">
        <f aca="false">$B$6*(49/60)*2</f>
        <v>107302.65</v>
      </c>
      <c r="BE69" s="27" t="n">
        <f aca="false">$B$6*(50/60)*2</f>
        <v>109492.5</v>
      </c>
      <c r="BF69" s="27" t="n">
        <f aca="false">$B$6*(51/60)*2</f>
        <v>111682.35</v>
      </c>
      <c r="BG69" s="27" t="n">
        <f aca="false">$B$6*(52/60)*2</f>
        <v>113872.2</v>
      </c>
      <c r="BH69" s="27" t="n">
        <f aca="false">$B$6*(53/60)*2</f>
        <v>116062.05</v>
      </c>
      <c r="BI69" s="27" t="n">
        <f aca="false">$B$6*(54/60)*2</f>
        <v>118251.9</v>
      </c>
      <c r="BJ69" s="27" t="n">
        <f aca="false">$B$6*(55/60)*2</f>
        <v>120441.75</v>
      </c>
      <c r="BK69" s="27" t="n">
        <f aca="false">$B$6*(56/60)*2</f>
        <v>122631.6</v>
      </c>
      <c r="BL69" s="27" t="n">
        <f aca="false">$B$6*(57/60)*2</f>
        <v>124821.45</v>
      </c>
      <c r="BM69" s="27" t="n">
        <f aca="false">$B$6*(58/60)*2</f>
        <v>127011.3</v>
      </c>
      <c r="BN69" s="27" t="n">
        <f aca="false">$B$6*(59/60)*2</f>
        <v>129201.15</v>
      </c>
      <c r="BO69" s="27" t="n">
        <f aca="false">$B$6*(60/60)*2</f>
        <v>131391</v>
      </c>
    </row>
    <row r="70" customFormat="false" ht="15" hidden="false" customHeight="false" outlineLevel="0" collapsed="false">
      <c r="A70" s="3" t="s">
        <v>140</v>
      </c>
      <c r="D70" s="10" t="s">
        <v>141</v>
      </c>
      <c r="E70" s="11" t="s">
        <v>142</v>
      </c>
      <c r="G70" s="28" t="n">
        <f aca="false">G69/$B$6-1</f>
        <v>-1</v>
      </c>
      <c r="H70" s="28" t="n">
        <f aca="false">H69/$B$6-1</f>
        <v>-0.966666666666667</v>
      </c>
      <c r="I70" s="28" t="n">
        <f aca="false">I69/$B$6-1</f>
        <v>-0.933333333333333</v>
      </c>
      <c r="J70" s="28" t="n">
        <f aca="false">J69/$B$6-1</f>
        <v>-0.9</v>
      </c>
      <c r="K70" s="28" t="n">
        <f aca="false">K69/$B$6-1</f>
        <v>-0.866666666666667</v>
      </c>
      <c r="L70" s="28" t="n">
        <f aca="false">L69/$B$6-1</f>
        <v>-0.833333333333333</v>
      </c>
      <c r="M70" s="28" t="n">
        <f aca="false">M69/$B$6-1</f>
        <v>-0.8</v>
      </c>
      <c r="N70" s="28" t="n">
        <f aca="false">N69/$B$6-1</f>
        <v>-0.766666666666667</v>
      </c>
      <c r="O70" s="28" t="n">
        <f aca="false">O69/$B$6-1</f>
        <v>-0.733333333333333</v>
      </c>
      <c r="P70" s="28" t="n">
        <f aca="false">P69/$B$6-1</f>
        <v>-0.7</v>
      </c>
      <c r="Q70" s="28" t="n">
        <f aca="false">Q69/$B$6-1</f>
        <v>-0.666666666666667</v>
      </c>
      <c r="R70" s="28" t="n">
        <f aca="false">R69/$B$6-1</f>
        <v>-0.633333333333333</v>
      </c>
      <c r="S70" s="28" t="n">
        <f aca="false">S69/$B$6-1</f>
        <v>-0.6</v>
      </c>
      <c r="T70" s="28" t="n">
        <f aca="false">T69/$B$6-1</f>
        <v>-0.566666666666667</v>
      </c>
      <c r="U70" s="28" t="n">
        <f aca="false">U69/$B$6-1</f>
        <v>-0.533333333333333</v>
      </c>
      <c r="V70" s="28" t="n">
        <f aca="false">V69/$B$6-1</f>
        <v>-0.5</v>
      </c>
      <c r="W70" s="28" t="n">
        <f aca="false">W69/$B$6-1</f>
        <v>-0.466666666666667</v>
      </c>
      <c r="X70" s="28" t="n">
        <f aca="false">X69/$B$6-1</f>
        <v>-0.433333333333333</v>
      </c>
      <c r="Y70" s="28" t="n">
        <f aca="false">Y69/$B$6-1</f>
        <v>-0.4</v>
      </c>
      <c r="Z70" s="28" t="n">
        <f aca="false">Z69/$B$6-1</f>
        <v>-0.366666666666667</v>
      </c>
      <c r="AA70" s="28" t="n">
        <f aca="false">AA69/$B$6-1</f>
        <v>-0.333333333333333</v>
      </c>
      <c r="AB70" s="28" t="n">
        <f aca="false">AB69/$B$6-1</f>
        <v>-0.3</v>
      </c>
      <c r="AC70" s="28" t="n">
        <f aca="false">AC69/$B$6-1</f>
        <v>-0.266666666666667</v>
      </c>
      <c r="AD70" s="28" t="n">
        <f aca="false">AD69/$B$6-1</f>
        <v>-0.233333333333333</v>
      </c>
      <c r="AE70" s="28" t="n">
        <f aca="false">AE69/$B$6-1</f>
        <v>-0.2</v>
      </c>
      <c r="AF70" s="28" t="n">
        <f aca="false">AF69/$B$6-1</f>
        <v>-0.166666666666667</v>
      </c>
      <c r="AG70" s="28" t="n">
        <f aca="false">AG69/$B$6-1</f>
        <v>-0.133333333333333</v>
      </c>
      <c r="AH70" s="28" t="n">
        <f aca="false">AH69/$B$6-1</f>
        <v>-0.1</v>
      </c>
      <c r="AI70" s="28" t="n">
        <f aca="false">AI69/$B$6-1</f>
        <v>-0.0666666666666667</v>
      </c>
      <c r="AJ70" s="28" t="n">
        <f aca="false">AJ69/$B$6-1</f>
        <v>-0.0333333333333333</v>
      </c>
      <c r="AK70" s="28" t="n">
        <f aca="false">AK69/$B$6-1</f>
        <v>0</v>
      </c>
      <c r="AL70" s="28" t="n">
        <f aca="false">AL69/$B$6-1</f>
        <v>0.0333333333333334</v>
      </c>
      <c r="AM70" s="28" t="n">
        <f aca="false">AM69/$B$6-1</f>
        <v>0.0666666666666667</v>
      </c>
      <c r="AN70" s="28" t="n">
        <f aca="false">AN69/$B$6-1</f>
        <v>0.1</v>
      </c>
      <c r="AO70" s="28" t="n">
        <f aca="false">AO69/$B$6-1</f>
        <v>0.133333333333333</v>
      </c>
      <c r="AP70" s="28" t="n">
        <f aca="false">AP69/$B$6-1</f>
        <v>0.166666666666667</v>
      </c>
      <c r="AQ70" s="28" t="n">
        <f aca="false">AQ69/$B$6-1</f>
        <v>0.2</v>
      </c>
      <c r="AR70" s="28" t="n">
        <f aca="false">AR69/$B$6-1</f>
        <v>0.233333333333333</v>
      </c>
      <c r="AS70" s="28" t="n">
        <f aca="false">AS69/$B$6-1</f>
        <v>0.266666666666667</v>
      </c>
      <c r="AT70" s="28" t="n">
        <f aca="false">AT69/$B$6-1</f>
        <v>0.3</v>
      </c>
      <c r="AU70" s="28" t="n">
        <f aca="false">AU69/$B$6-1</f>
        <v>0.333333333333333</v>
      </c>
      <c r="AV70" s="28" t="n">
        <f aca="false">AV69/$B$6-1</f>
        <v>0.366666666666667</v>
      </c>
      <c r="AW70" s="28" t="n">
        <f aca="false">AW69/$B$6-1</f>
        <v>0.4</v>
      </c>
      <c r="AX70" s="28" t="n">
        <f aca="false">AX69/$B$6-1</f>
        <v>0.433333333333333</v>
      </c>
      <c r="AY70" s="28" t="n">
        <f aca="false">AY69/$B$6-1</f>
        <v>0.466666666666667</v>
      </c>
      <c r="AZ70" s="28" t="n">
        <f aca="false">AZ69/$B$6-1</f>
        <v>0.5</v>
      </c>
      <c r="BA70" s="28" t="n">
        <f aca="false">BA69/$B$6-1</f>
        <v>0.533333333333333</v>
      </c>
      <c r="BB70" s="28" t="n">
        <f aca="false">BB69/$B$6-1</f>
        <v>0.566666666666667</v>
      </c>
      <c r="BC70" s="28" t="n">
        <f aca="false">BC69/$B$6-1</f>
        <v>0.6</v>
      </c>
      <c r="BD70" s="28" t="n">
        <f aca="false">BD69/$B$6-1</f>
        <v>0.633333333333333</v>
      </c>
      <c r="BE70" s="28" t="n">
        <f aca="false">BE69/$B$6-1</f>
        <v>0.666666666666667</v>
      </c>
      <c r="BF70" s="28" t="n">
        <f aca="false">BF69/$B$6-1</f>
        <v>0.7</v>
      </c>
      <c r="BG70" s="28" t="n">
        <f aca="false">BG69/$B$6-1</f>
        <v>0.733333333333333</v>
      </c>
      <c r="BH70" s="28" t="n">
        <f aca="false">BH69/$B$6-1</f>
        <v>0.766666666666667</v>
      </c>
      <c r="BI70" s="28" t="n">
        <f aca="false">BI69/$B$6-1</f>
        <v>0.8</v>
      </c>
      <c r="BJ70" s="28" t="n">
        <f aca="false">BJ69/$B$6-1</f>
        <v>0.833333333333333</v>
      </c>
      <c r="BK70" s="28" t="n">
        <f aca="false">BK69/$B$6-1</f>
        <v>0.866666666666667</v>
      </c>
      <c r="BL70" s="28" t="n">
        <f aca="false">BL69/$B$6-1</f>
        <v>0.9</v>
      </c>
      <c r="BM70" s="28" t="n">
        <f aca="false">BM69/$B$6-1</f>
        <v>0.933333333333333</v>
      </c>
      <c r="BN70" s="28" t="n">
        <f aca="false">BN69/$B$6-1</f>
        <v>0.966666666666667</v>
      </c>
      <c r="BO70" s="28" t="n">
        <f aca="false">BO69/$B$6-1</f>
        <v>1</v>
      </c>
    </row>
    <row r="71" customFormat="false" ht="15" hidden="false" customHeight="false" outlineLevel="0" collapsed="false">
      <c r="A71" s="3" t="s">
        <v>143</v>
      </c>
      <c r="D71" s="10" t="s">
        <v>144</v>
      </c>
      <c r="E71" s="11" t="s">
        <v>99</v>
      </c>
      <c r="G71" s="29" t="n">
        <f aca="false">1/(1+(sR/MAX(ABS(G70),0.000000001))^B8)</f>
        <v>0.656785971118344</v>
      </c>
      <c r="H71" s="29" t="n">
        <f aca="false">1/(1+(sR/MAX(ABS(H70),0.000000001))^B8)</f>
        <v>0.647012286430356</v>
      </c>
      <c r="I71" s="29" t="n">
        <f aca="false">1/(1+(sR/MAX(ABS(I70),0.000000001))^B8)</f>
        <v>0.636764502433958</v>
      </c>
      <c r="J71" s="29" t="n">
        <f aca="false">1/(1+(sR/MAX(ABS(J70),0.000000001))^B8)</f>
        <v>0.626011435989349</v>
      </c>
      <c r="K71" s="29" t="n">
        <f aca="false">1/(1+(sR/MAX(ABS(K70),0.000000001))^B8)</f>
        <v>0.614719478065077</v>
      </c>
      <c r="L71" s="29" t="n">
        <f aca="false">1/(1+(sR/MAX(ABS(L70),0.000000001))^B8)</f>
        <v>0.602852406331943</v>
      </c>
      <c r="M71" s="29" t="n">
        <f aca="false">1/(1+(sR/MAX(ABS(M70),0.000000001))^B8)</f>
        <v>0.590371191582959</v>
      </c>
      <c r="N71" s="29" t="n">
        <f aca="false">1/(1+(sR/MAX(ABS(N70),0.000000001))^B8)</f>
        <v>0.577233801647723</v>
      </c>
      <c r="O71" s="29" t="n">
        <f aca="false">1/(1+(sR/MAX(ABS(O70),0.000000001))^B8)</f>
        <v>0.56339500837603</v>
      </c>
      <c r="P71" s="29" t="n">
        <f aca="false">1/(1+(sR/MAX(ABS(P70),0.000000001))^B8)</f>
        <v>0.548806205930763</v>
      </c>
      <c r="Q71" s="29" t="n">
        <f aca="false">1/(1+(sR/MAX(ABS(Q70),0.000000001))^B8)</f>
        <v>0.533415252349603</v>
      </c>
      <c r="R71" s="29" t="n">
        <f aca="false">1/(1+(sR/MAX(ABS(R70),0.000000001))^B8)</f>
        <v>0.517166351524794</v>
      </c>
      <c r="S71" s="29" t="n">
        <f aca="false">1/(1+(sR/MAX(ABS(S70),0.000000001))^B8)</f>
        <v>0.5</v>
      </c>
      <c r="T71" s="29" t="n">
        <f aca="false">1/(1+(sR/MAX(ABS(T70),0.000000001))^B8)</f>
        <v>0.481853033135982</v>
      </c>
      <c r="U71" s="29" t="n">
        <f aca="false">1/(1+(sR/MAX(ABS(U70),0.000000001))^B8)</f>
        <v>0.462658819469831</v>
      </c>
      <c r="V71" s="29" t="n">
        <f aca="false">1/(1+(sR/MAX(ABS(V70),0.000000001))^B8)</f>
        <v>0.442347672264447</v>
      </c>
      <c r="W71" s="29" t="n">
        <f aca="false">1/(1+(sR/MAX(ABS(W70),0.000000001))^B8)</f>
        <v>0.420847575954612</v>
      </c>
      <c r="X71" s="29" t="n">
        <f aca="false">1/(1+(sR/MAX(ABS(X70),0.000000001))^B8)</f>
        <v>0.398085366429458</v>
      </c>
      <c r="Y71" s="29" t="n">
        <f aca="false">1/(1+(sR/MAX(ABS(Y70),0.000000001))^B8)</f>
        <v>0.373988564010652</v>
      </c>
      <c r="Z71" s="29" t="n">
        <f aca="false">1/(1+(sR/MAX(ABS(Z70),0.000000001))^B8)</f>
        <v>0.348488146395628</v>
      </c>
      <c r="AA71" s="29" t="n">
        <f aca="false">1/(1+(sR/MAX(ABS(AA70),0.000000001))^B8)</f>
        <v>0.32152268191283</v>
      </c>
      <c r="AB71" s="29" t="n">
        <f aca="false">1/(1+(sR/MAX(ABS(AB70),0.000000001))^B8)</f>
        <v>0.293044449116652</v>
      </c>
      <c r="AC71" s="29" t="n">
        <f aca="false">1/(1+(sR/MAX(ABS(AC70),0.000000001))^B8)</f>
        <v>0.263028498086391</v>
      </c>
      <c r="AD71" s="29" t="n">
        <f aca="false">1/(1+(sR/MAX(ABS(AD70),0.000000001))^B8)</f>
        <v>0.231486161809418</v>
      </c>
      <c r="AE71" s="29" t="n">
        <f aca="false">1/(1+(sR/MAX(ABS(AE70),0.000000001))^B8)</f>
        <v>0.198485516006292</v>
      </c>
      <c r="AF71" s="29" t="n">
        <f aca="false">1/(1+(sR/MAX(ABS(AF70),0.000000001))^B8)</f>
        <v>0.164183216758419</v>
      </c>
      <c r="AG71" s="29" t="n">
        <f aca="false">1/(1+(sR/MAX(ABS(AG70),0.000000001))^B8)</f>
        <v>0.128876370195086</v>
      </c>
      <c r="AH71" s="29" t="n">
        <f aca="false">1/(1+(sR/MAX(ABS(AH70),0.000000001))^B8)</f>
        <v>0.0930938873186311</v>
      </c>
      <c r="AI71" s="29" t="n">
        <f aca="false">1/(1+(sR/MAX(ABS(AI70),0.000000001))^B8)</f>
        <v>0.0577812125548622</v>
      </c>
      <c r="AJ71" s="29" t="n">
        <f aca="false">1/(1+(sR/MAX(ABS(AJ70),0.000000001))^B8)</f>
        <v>0.0247898831836704</v>
      </c>
      <c r="AK71" s="29" t="n">
        <f aca="false">1/(1+(sR/MAX(ABS(AK70),0.000000001))^B8)</f>
        <v>7.03653474365807E-012</v>
      </c>
      <c r="AL71" s="29" t="n">
        <f aca="false">1/(1+(sR/MAX(ABS(AL70),0.000000001))^B8)</f>
        <v>0.0247898831836705</v>
      </c>
      <c r="AM71" s="29" t="n">
        <f aca="false">1/(1+(sR/MAX(ABS(AM70),0.000000001))^B8)</f>
        <v>0.0577812125548622</v>
      </c>
      <c r="AN71" s="29" t="n">
        <f aca="false">1/(1+(sR/MAX(ABS(AN70),0.000000001))^B8)</f>
        <v>0.0930938873186312</v>
      </c>
      <c r="AO71" s="29" t="n">
        <f aca="false">1/(1+(sR/MAX(ABS(AO70),0.000000001))^B8)</f>
        <v>0.128876370195086</v>
      </c>
      <c r="AP71" s="29" t="n">
        <f aca="false">1/(1+(sR/MAX(ABS(AP70),0.000000001))^B8)</f>
        <v>0.16418321675842</v>
      </c>
      <c r="AQ71" s="29" t="n">
        <f aca="false">1/(1+(sR/MAX(ABS(AQ70),0.000000001))^B8)</f>
        <v>0.198485516006292</v>
      </c>
      <c r="AR71" s="29" t="n">
        <f aca="false">1/(1+(sR/MAX(ABS(AR70),0.000000001))^B8)</f>
        <v>0.231486161809418</v>
      </c>
      <c r="AS71" s="29" t="n">
        <f aca="false">1/(1+(sR/MAX(ABS(AS70),0.000000001))^B8)</f>
        <v>0.263028498086391</v>
      </c>
      <c r="AT71" s="29" t="n">
        <f aca="false">1/(1+(sR/MAX(ABS(AT70),0.000000001))^B8)</f>
        <v>0.293044449116652</v>
      </c>
      <c r="AU71" s="29" t="n">
        <f aca="false">1/(1+(sR/MAX(ABS(AU70),0.000000001))^B8)</f>
        <v>0.32152268191283</v>
      </c>
      <c r="AV71" s="29" t="n">
        <f aca="false">1/(1+(sR/MAX(ABS(AV70),0.000000001))^B8)</f>
        <v>0.348488146395628</v>
      </c>
      <c r="AW71" s="29" t="n">
        <f aca="false">1/(1+(sR/MAX(ABS(AW70),0.000000001))^B8)</f>
        <v>0.373988564010651</v>
      </c>
      <c r="AX71" s="29" t="n">
        <f aca="false">1/(1+(sR/MAX(ABS(AX70),0.000000001))^B8)</f>
        <v>0.398085366429458</v>
      </c>
      <c r="AY71" s="29" t="n">
        <f aca="false">1/(1+(sR/MAX(ABS(AY70),0.000000001))^B8)</f>
        <v>0.420847575954612</v>
      </c>
      <c r="AZ71" s="29" t="n">
        <f aca="false">1/(1+(sR/MAX(ABS(AZ70),0.000000001))^B8)</f>
        <v>0.442347672264447</v>
      </c>
      <c r="BA71" s="29" t="n">
        <f aca="false">1/(1+(sR/MAX(ABS(BA70),0.000000001))^B8)</f>
        <v>0.462658819469831</v>
      </c>
      <c r="BB71" s="29" t="n">
        <f aca="false">1/(1+(sR/MAX(ABS(BB70),0.000000001))^B8)</f>
        <v>0.481853033135982</v>
      </c>
      <c r="BC71" s="29" t="n">
        <f aca="false">1/(1+(sR/MAX(ABS(BC70),0.000000001))^B8)</f>
        <v>0.5</v>
      </c>
      <c r="BD71" s="29" t="n">
        <f aca="false">1/(1+(sR/MAX(ABS(BD70),0.000000001))^B8)</f>
        <v>0.517166351524794</v>
      </c>
      <c r="BE71" s="29" t="n">
        <f aca="false">1/(1+(sR/MAX(ABS(BE70),0.000000001))^B8)</f>
        <v>0.533415252349603</v>
      </c>
      <c r="BF71" s="29" t="n">
        <f aca="false">1/(1+(sR/MAX(ABS(BF70),0.000000001))^B8)</f>
        <v>0.548806205930763</v>
      </c>
      <c r="BG71" s="29" t="n">
        <f aca="false">1/(1+(sR/MAX(ABS(BG70),0.000000001))^B8)</f>
        <v>0.56339500837603</v>
      </c>
      <c r="BH71" s="29" t="n">
        <f aca="false">1/(1+(sR/MAX(ABS(BH70),0.000000001))^B8)</f>
        <v>0.577233801647723</v>
      </c>
      <c r="BI71" s="29" t="n">
        <f aca="false">1/(1+(sR/MAX(ABS(BI70),0.000000001))^B8)</f>
        <v>0.590371191582959</v>
      </c>
      <c r="BJ71" s="29" t="n">
        <f aca="false">1/(1+(sR/MAX(ABS(BJ70),0.000000001))^B8)</f>
        <v>0.602852406331943</v>
      </c>
      <c r="BK71" s="29" t="n">
        <f aca="false">1/(1+(sR/MAX(ABS(BK70),0.000000001))^B8)</f>
        <v>0.614719478065077</v>
      </c>
      <c r="BL71" s="29" t="n">
        <f aca="false">1/(1+(sR/MAX(ABS(BL70),0.000000001))^B8)</f>
        <v>0.626011435989349</v>
      </c>
      <c r="BM71" s="29" t="n">
        <f aca="false">1/(1+(sR/MAX(ABS(BM70),0.000000001))^B8)</f>
        <v>0.636764502433958</v>
      </c>
      <c r="BN71" s="29" t="n">
        <f aca="false">1/(1+(sR/MAX(ABS(BN70),0.000000001))^B8)</f>
        <v>0.647012286430356</v>
      </c>
      <c r="BO71" s="29" t="n">
        <f aca="false">1/(1+(sR/MAX(ABS(BO70),0.000000001))^B8)</f>
        <v>0.656785971118344</v>
      </c>
    </row>
    <row r="72" customFormat="false" ht="15" hidden="false" customHeight="false" outlineLevel="0" collapsed="false">
      <c r="A72" s="3" t="s">
        <v>145</v>
      </c>
      <c r="D72" s="10" t="s">
        <v>146</v>
      </c>
      <c r="E72" s="11" t="s">
        <v>101</v>
      </c>
      <c r="G72" s="29" t="n">
        <f aca="false">1/(1+(sL/MAX(ABS(G70),0.000000001))^B8)</f>
        <v>0.656785971118344</v>
      </c>
      <c r="H72" s="29" t="n">
        <f aca="false">1/(1+(sL/MAX(ABS(H70),0.000000001))^B8)</f>
        <v>0.647012286430356</v>
      </c>
      <c r="I72" s="29" t="n">
        <f aca="false">1/(1+(sL/MAX(ABS(I70),0.000000001))^B8)</f>
        <v>0.636764502433958</v>
      </c>
      <c r="J72" s="29" t="n">
        <f aca="false">1/(1+(sL/MAX(ABS(J70),0.000000001))^B8)</f>
        <v>0.626011435989349</v>
      </c>
      <c r="K72" s="29" t="n">
        <f aca="false">1/(1+(sL/MAX(ABS(K70),0.000000001))^B8)</f>
        <v>0.614719478065077</v>
      </c>
      <c r="L72" s="29" t="n">
        <f aca="false">1/(1+(sL/MAX(ABS(L70),0.000000001))^B8)</f>
        <v>0.602852406331943</v>
      </c>
      <c r="M72" s="29" t="n">
        <f aca="false">1/(1+(sL/MAX(ABS(M70),0.000000001))^B8)</f>
        <v>0.590371191582959</v>
      </c>
      <c r="N72" s="29" t="n">
        <f aca="false">1/(1+(sL/MAX(ABS(N70),0.000000001))^B8)</f>
        <v>0.577233801647723</v>
      </c>
      <c r="O72" s="29" t="n">
        <f aca="false">1/(1+(sL/MAX(ABS(O70),0.000000001))^B8)</f>
        <v>0.56339500837603</v>
      </c>
      <c r="P72" s="29" t="n">
        <f aca="false">1/(1+(sL/MAX(ABS(P70),0.000000001))^B8)</f>
        <v>0.548806205930763</v>
      </c>
      <c r="Q72" s="29" t="n">
        <f aca="false">1/(1+(sL/MAX(ABS(Q70),0.000000001))^B8)</f>
        <v>0.533415252349603</v>
      </c>
      <c r="R72" s="29" t="n">
        <f aca="false">1/(1+(sL/MAX(ABS(R70),0.000000001))^B8)</f>
        <v>0.517166351524794</v>
      </c>
      <c r="S72" s="29" t="n">
        <f aca="false">1/(1+(sL/MAX(ABS(S70),0.000000001))^B8)</f>
        <v>0.5</v>
      </c>
      <c r="T72" s="29" t="n">
        <f aca="false">1/(1+(sL/MAX(ABS(T70),0.000000001))^B8)</f>
        <v>0.481853033135982</v>
      </c>
      <c r="U72" s="29" t="n">
        <f aca="false">1/(1+(sL/MAX(ABS(U70),0.000000001))^B8)</f>
        <v>0.462658819469831</v>
      </c>
      <c r="V72" s="29" t="n">
        <f aca="false">1/(1+(sL/MAX(ABS(V70),0.000000001))^B8)</f>
        <v>0.442347672264447</v>
      </c>
      <c r="W72" s="29" t="n">
        <f aca="false">1/(1+(sL/MAX(ABS(W70),0.000000001))^B8)</f>
        <v>0.420847575954612</v>
      </c>
      <c r="X72" s="29" t="n">
        <f aca="false">1/(1+(sL/MAX(ABS(X70),0.000000001))^B8)</f>
        <v>0.398085366429458</v>
      </c>
      <c r="Y72" s="29" t="n">
        <f aca="false">1/(1+(sL/MAX(ABS(Y70),0.000000001))^B8)</f>
        <v>0.373988564010652</v>
      </c>
      <c r="Z72" s="29" t="n">
        <f aca="false">1/(1+(sL/MAX(ABS(Z70),0.000000001))^B8)</f>
        <v>0.348488146395628</v>
      </c>
      <c r="AA72" s="29" t="n">
        <f aca="false">1/(1+(sL/MAX(ABS(AA70),0.000000001))^B8)</f>
        <v>0.32152268191283</v>
      </c>
      <c r="AB72" s="29" t="n">
        <f aca="false">1/(1+(sL/MAX(ABS(AB70),0.000000001))^B8)</f>
        <v>0.293044449116652</v>
      </c>
      <c r="AC72" s="29" t="n">
        <f aca="false">1/(1+(sL/MAX(ABS(AC70),0.000000001))^B8)</f>
        <v>0.263028498086391</v>
      </c>
      <c r="AD72" s="29" t="n">
        <f aca="false">1/(1+(sL/MAX(ABS(AD70),0.000000001))^B8)</f>
        <v>0.231486161809418</v>
      </c>
      <c r="AE72" s="29" t="n">
        <f aca="false">1/(1+(sL/MAX(ABS(AE70),0.000000001))^B8)</f>
        <v>0.198485516006292</v>
      </c>
      <c r="AF72" s="29" t="n">
        <f aca="false">1/(1+(sL/MAX(ABS(AF70),0.000000001))^B8)</f>
        <v>0.164183216758419</v>
      </c>
      <c r="AG72" s="29" t="n">
        <f aca="false">1/(1+(sL/MAX(ABS(AG70),0.000000001))^B8)</f>
        <v>0.128876370195086</v>
      </c>
      <c r="AH72" s="29" t="n">
        <f aca="false">1/(1+(sL/MAX(ABS(AH70),0.000000001))^B8)</f>
        <v>0.0930938873186311</v>
      </c>
      <c r="AI72" s="29" t="n">
        <f aca="false">1/(1+(sL/MAX(ABS(AI70),0.000000001))^B8)</f>
        <v>0.0577812125548622</v>
      </c>
      <c r="AJ72" s="29" t="n">
        <f aca="false">1/(1+(sL/MAX(ABS(AJ70),0.000000001))^B8)</f>
        <v>0.0247898831836704</v>
      </c>
      <c r="AK72" s="29" t="n">
        <f aca="false">1/(1+(sL/MAX(ABS(AK70),0.000000001))^B8)</f>
        <v>7.03653474365807E-012</v>
      </c>
      <c r="AL72" s="29" t="n">
        <f aca="false">1/(1+(sL/MAX(ABS(AL70),0.000000001))^B8)</f>
        <v>0.0247898831836705</v>
      </c>
      <c r="AM72" s="29" t="n">
        <f aca="false">1/(1+(sL/MAX(ABS(AM70),0.000000001))^B8)</f>
        <v>0.0577812125548622</v>
      </c>
      <c r="AN72" s="29" t="n">
        <f aca="false">1/(1+(sL/MAX(ABS(AN70),0.000000001))^B8)</f>
        <v>0.0930938873186312</v>
      </c>
      <c r="AO72" s="29" t="n">
        <f aca="false">1/(1+(sL/MAX(ABS(AO70),0.000000001))^B8)</f>
        <v>0.128876370195086</v>
      </c>
      <c r="AP72" s="29" t="n">
        <f aca="false">1/(1+(sL/MAX(ABS(AP70),0.000000001))^B8)</f>
        <v>0.16418321675842</v>
      </c>
      <c r="AQ72" s="29" t="n">
        <f aca="false">1/(1+(sL/MAX(ABS(AQ70),0.000000001))^B8)</f>
        <v>0.198485516006292</v>
      </c>
      <c r="AR72" s="29" t="n">
        <f aca="false">1/(1+(sL/MAX(ABS(AR70),0.000000001))^B8)</f>
        <v>0.231486161809418</v>
      </c>
      <c r="AS72" s="29" t="n">
        <f aca="false">1/(1+(sL/MAX(ABS(AS70),0.000000001))^B8)</f>
        <v>0.263028498086391</v>
      </c>
      <c r="AT72" s="29" t="n">
        <f aca="false">1/(1+(sL/MAX(ABS(AT70),0.000000001))^B8)</f>
        <v>0.293044449116652</v>
      </c>
      <c r="AU72" s="29" t="n">
        <f aca="false">1/(1+(sL/MAX(ABS(AU70),0.000000001))^B8)</f>
        <v>0.32152268191283</v>
      </c>
      <c r="AV72" s="29" t="n">
        <f aca="false">1/(1+(sL/MAX(ABS(AV70),0.000000001))^B8)</f>
        <v>0.348488146395628</v>
      </c>
      <c r="AW72" s="29" t="n">
        <f aca="false">1/(1+(sL/MAX(ABS(AW70),0.000000001))^B8)</f>
        <v>0.373988564010651</v>
      </c>
      <c r="AX72" s="29" t="n">
        <f aca="false">1/(1+(sL/MAX(ABS(AX70),0.000000001))^B8)</f>
        <v>0.398085366429458</v>
      </c>
      <c r="AY72" s="29" t="n">
        <f aca="false">1/(1+(sL/MAX(ABS(AY70),0.000000001))^B8)</f>
        <v>0.420847575954612</v>
      </c>
      <c r="AZ72" s="29" t="n">
        <f aca="false">1/(1+(sL/MAX(ABS(AZ70),0.000000001))^B8)</f>
        <v>0.442347672264447</v>
      </c>
      <c r="BA72" s="29" t="n">
        <f aca="false">1/(1+(sL/MAX(ABS(BA70),0.000000001))^B8)</f>
        <v>0.462658819469831</v>
      </c>
      <c r="BB72" s="29" t="n">
        <f aca="false">1/(1+(sL/MAX(ABS(BB70),0.000000001))^B8)</f>
        <v>0.481853033135982</v>
      </c>
      <c r="BC72" s="29" t="n">
        <f aca="false">1/(1+(sL/MAX(ABS(BC70),0.000000001))^B8)</f>
        <v>0.5</v>
      </c>
      <c r="BD72" s="29" t="n">
        <f aca="false">1/(1+(sL/MAX(ABS(BD70),0.000000001))^B8)</f>
        <v>0.517166351524794</v>
      </c>
      <c r="BE72" s="29" t="n">
        <f aca="false">1/(1+(sL/MAX(ABS(BE70),0.000000001))^B8)</f>
        <v>0.533415252349603</v>
      </c>
      <c r="BF72" s="29" t="n">
        <f aca="false">1/(1+(sL/MAX(ABS(BF70),0.000000001))^B8)</f>
        <v>0.548806205930763</v>
      </c>
      <c r="BG72" s="29" t="n">
        <f aca="false">1/(1+(sL/MAX(ABS(BG70),0.000000001))^B8)</f>
        <v>0.56339500837603</v>
      </c>
      <c r="BH72" s="29" t="n">
        <f aca="false">1/(1+(sL/MAX(ABS(BH70),0.000000001))^B8)</f>
        <v>0.577233801647723</v>
      </c>
      <c r="BI72" s="29" t="n">
        <f aca="false">1/(1+(sL/MAX(ABS(BI70),0.000000001))^B8)</f>
        <v>0.590371191582959</v>
      </c>
      <c r="BJ72" s="29" t="n">
        <f aca="false">1/(1+(sL/MAX(ABS(BJ70),0.000000001))^B8)</f>
        <v>0.602852406331943</v>
      </c>
      <c r="BK72" s="29" t="n">
        <f aca="false">1/(1+(sL/MAX(ABS(BK70),0.000000001))^B8)</f>
        <v>0.614719478065077</v>
      </c>
      <c r="BL72" s="29" t="n">
        <f aca="false">1/(1+(sL/MAX(ABS(BL70),0.000000001))^B8)</f>
        <v>0.626011435989349</v>
      </c>
      <c r="BM72" s="29" t="n">
        <f aca="false">1/(1+(sL/MAX(ABS(BM70),0.000000001))^B8)</f>
        <v>0.636764502433958</v>
      </c>
      <c r="BN72" s="29" t="n">
        <f aca="false">1/(1+(sL/MAX(ABS(BN70),0.000000001))^B8)</f>
        <v>0.647012286430356</v>
      </c>
      <c r="BO72" s="29" t="n">
        <f aca="false">1/(1+(sL/MAX(ABS(BO70),0.000000001))^B8)</f>
        <v>0.656785971118344</v>
      </c>
    </row>
    <row r="73" customFormat="false" ht="15" hidden="false" customHeight="false" outlineLevel="0" collapsed="false">
      <c r="A73" s="3" t="s">
        <v>147</v>
      </c>
      <c r="D73" s="10" t="s">
        <v>148</v>
      </c>
      <c r="E73" s="11" t="s">
        <v>149</v>
      </c>
      <c r="G73" s="29" t="n">
        <f aca="false">qR*(sR/B8)*Bfn*(1-BETADIST(G71,1/B8,B9/B8))</f>
        <v>0.0296556451014927</v>
      </c>
      <c r="H73" s="29" t="n">
        <f aca="false">qR*(sR/B8)*Bfn*(1-BETADIST(H71,1/B8,B9/B8))</f>
        <v>0.0309390416111338</v>
      </c>
      <c r="I73" s="29" t="n">
        <f aca="false">qR*(sR/B8)*Bfn*(1-BETADIST(I71,1/B8,B9/B8))</f>
        <v>0.0323064415776669</v>
      </c>
      <c r="J73" s="29" t="n">
        <f aca="false">qR*(sR/B8)*Bfn*(1-BETADIST(J71,1/B8,B9/B8))</f>
        <v>0.033765128405659</v>
      </c>
      <c r="K73" s="29" t="n">
        <f aca="false">qR*(sR/B8)*Bfn*(1-BETADIST(K71,1/B8,B9/B8))</f>
        <v>0.035323161329865</v>
      </c>
      <c r="L73" s="29" t="n">
        <f aca="false">qR*(sR/B8)*Bfn*(1-BETADIST(L71,1/B8,B9/B8))</f>
        <v>0.0369894714964675</v>
      </c>
      <c r="M73" s="29" t="n">
        <f aca="false">qR*(sR/B8)*Bfn*(1-BETADIST(M71,1/B8,B9/B8))</f>
        <v>0.0387739711544454</v>
      </c>
      <c r="N73" s="29" t="n">
        <f aca="false">qR*(sR/B8)*Bfn*(1-BETADIST(N71,1/B8,B9/B8))</f>
        <v>0.0406876777797898</v>
      </c>
      <c r="O73" s="29" t="n">
        <f aca="false">qR*(sR/B8)*Bfn*(1-BETADIST(O71,1/B8,B9/B8))</f>
        <v>0.04274285516539</v>
      </c>
      <c r="P73" s="29" t="n">
        <f aca="false">qR*(sR/B8)*Bfn*(1-BETADIST(P71,1/B8,B9/B8))</f>
        <v>0.0449531737149938</v>
      </c>
      <c r="Q73" s="29" t="n">
        <f aca="false">qR*(sR/B8)*Bfn*(1-BETADIST(Q71,1/B8,B9/B8))</f>
        <v>0.047333892361149</v>
      </c>
      <c r="R73" s="29" t="n">
        <f aca="false">qR*(sR/B8)*Bfn*(1-BETADIST(R71,1/B8,B9/B8))</f>
        <v>0.0499020646525576</v>
      </c>
      <c r="S73" s="29" t="n">
        <f aca="false">qR*(sR/B8)*Bfn*(1-BETADIST(S71,1/B8,B9/B8))</f>
        <v>0.0526767715749367</v>
      </c>
      <c r="T73" s="29" t="n">
        <f aca="false">qR*(sR/B8)*Bfn*(1-BETADIST(T71,1/B8,B9/B8))</f>
        <v>0.0556793835014582</v>
      </c>
      <c r="U73" s="29" t="n">
        <f aca="false">qR*(sR/B8)*Bfn*(1-BETADIST(U71,1/B8,B9/B8))</f>
        <v>0.0589338531901238</v>
      </c>
      <c r="V73" s="29" t="n">
        <f aca="false">qR*(sR/B8)*Bfn*(1-BETADIST(V71,1/B8,B9/B8))</f>
        <v>0.0624670407645022</v>
      </c>
      <c r="W73" s="29" t="n">
        <f aca="false">qR*(sR/B8)*Bfn*(1-BETADIST(W71,1/B8,B9/B8))</f>
        <v>0.0663090698361309</v>
      </c>
      <c r="X73" s="29" t="n">
        <f aca="false">qR*(sR/B8)*Bfn*(1-BETADIST(X71,1/B8,B9/B8))</f>
        <v>0.0704937108971753</v>
      </c>
      <c r="Y73" s="29" t="n">
        <f aca="false">qR*(sR/B8)*Bfn*(1-BETADIST(Y71,1/B8,B9/B8))</f>
        <v>0.0750587831286747</v>
      </c>
      <c r="Z73" s="29" t="n">
        <f aca="false">qR*(sR/B8)*Bfn*(1-BETADIST(Z71,1/B8,B9/B8))</f>
        <v>0.08004655774189</v>
      </c>
      <c r="AA73" s="29" t="n">
        <f aca="false">qR*(sR/B8)*Bfn*(1-BETADIST(AA71,1/B8,B9/B8))</f>
        <v>0.0855041331854623</v>
      </c>
      <c r="AB73" s="29" t="n">
        <f aca="false">qR*(sR/B8)*Bfn*(1-BETADIST(AB71,1/B8,B9/B8))</f>
        <v>0.0914837322800127</v>
      </c>
      <c r="AC73" s="29" t="n">
        <f aca="false">qR*(sR/B8)*Bfn*(1-BETADIST(AC71,1/B8,B9/B8))</f>
        <v>0.0980428391333682</v>
      </c>
      <c r="AD73" s="29" t="n">
        <f aca="false">qR*(sR/B8)*Bfn*(1-BETADIST(AD71,1/B8,B9/B8))</f>
        <v>0.105244042029132</v>
      </c>
      <c r="AE73" s="29" t="n">
        <f aca="false">qR*(sR/B8)*Bfn*(1-BETADIST(AE71,1/B8,B9/B8))</f>
        <v>0.113154364008926</v>
      </c>
      <c r="AF73" s="29" t="n">
        <f aca="false">qR*(sR/B8)*Bfn*(1-BETADIST(AF71,1/B8,B9/B8))</f>
        <v>0.121843719945369</v>
      </c>
      <c r="AG73" s="29" t="n">
        <f aca="false">qR*(sR/B8)*Bfn*(1-BETADIST(AG71,1/B8,B9/B8))</f>
        <v>0.131381882581938</v>
      </c>
      <c r="AH73" s="29" t="n">
        <f aca="false">qR*(sR/B8)*Bfn*(1-BETADIST(AH71,1/B8,B9/B8))</f>
        <v>0.141832832790596</v>
      </c>
      <c r="AI73" s="29" t="n">
        <f aca="false">qR*(sR/B8)*Bfn*(1-BETADIST(AI71,1/B8,B9/B8))</f>
        <v>0.153244183829302</v>
      </c>
      <c r="AJ73" s="29" t="n">
        <f aca="false">qR*(sR/B8)*Bfn*(1-BETADIST(AJ71,1/B8,B9/B8))</f>
        <v>0.16562566389023</v>
      </c>
      <c r="AK73" s="29" t="n">
        <f aca="false">qR*(sR/B8)*Bfn*(1-BETADIST(AK71,1/B8,B9/B8))</f>
        <v>0.178887890762672</v>
      </c>
      <c r="AL73" s="29" t="n">
        <f aca="false">qR*(sR/B8)*Bfn*(1-BETADIST(AL71,1/B8,B9/B8))</f>
        <v>0.16562566389023</v>
      </c>
      <c r="AM73" s="29" t="n">
        <f aca="false">qR*(sR/B8)*Bfn*(1-BETADIST(AM71,1/B8,B9/B8))</f>
        <v>0.153244183829302</v>
      </c>
      <c r="AN73" s="29" t="n">
        <f aca="false">qR*(sR/B8)*Bfn*(1-BETADIST(AN71,1/B8,B9/B8))</f>
        <v>0.141832832790596</v>
      </c>
      <c r="AO73" s="29" t="n">
        <f aca="false">qR*(sR/B8)*Bfn*(1-BETADIST(AO71,1/B8,B9/B8))</f>
        <v>0.131381882581938</v>
      </c>
      <c r="AP73" s="29" t="n">
        <f aca="false">qR*(sR/B8)*Bfn*(1-BETADIST(AP71,1/B8,B9/B8))</f>
        <v>0.121843719945369</v>
      </c>
      <c r="AQ73" s="29" t="n">
        <f aca="false">qR*(sR/B8)*Bfn*(1-BETADIST(AQ71,1/B8,B9/B8))</f>
        <v>0.113154364008926</v>
      </c>
      <c r="AR73" s="29" t="n">
        <f aca="false">qR*(sR/B8)*Bfn*(1-BETADIST(AR71,1/B8,B9/B8))</f>
        <v>0.105244042029132</v>
      </c>
      <c r="AS73" s="29" t="n">
        <f aca="false">qR*(sR/B8)*Bfn*(1-BETADIST(AS71,1/B8,B9/B8))</f>
        <v>0.0980428391333682</v>
      </c>
      <c r="AT73" s="29" t="n">
        <f aca="false">qR*(sR/B8)*Bfn*(1-BETADIST(AT71,1/B8,B9/B8))</f>
        <v>0.0914837322800127</v>
      </c>
      <c r="AU73" s="29" t="n">
        <f aca="false">qR*(sR/B8)*Bfn*(1-BETADIST(AU71,1/B8,B9/B8))</f>
        <v>0.0855041331854622</v>
      </c>
      <c r="AV73" s="29" t="n">
        <f aca="false">qR*(sR/B8)*Bfn*(1-BETADIST(AV71,1/B8,B9/B8))</f>
        <v>0.08004655774189</v>
      </c>
      <c r="AW73" s="29" t="n">
        <f aca="false">qR*(sR/B8)*Bfn*(1-BETADIST(AW71,1/B8,B9/B8))</f>
        <v>0.0750587831286747</v>
      </c>
      <c r="AX73" s="29" t="n">
        <f aca="false">qR*(sR/B8)*Bfn*(1-BETADIST(AX71,1/B8,B9/B8))</f>
        <v>0.0704937108971753</v>
      </c>
      <c r="AY73" s="29" t="n">
        <f aca="false">qR*(sR/B8)*Bfn*(1-BETADIST(AY71,1/B8,B9/B8))</f>
        <v>0.0663090698361309</v>
      </c>
      <c r="AZ73" s="29" t="n">
        <f aca="false">qR*(sR/B8)*Bfn*(1-BETADIST(AZ71,1/B8,B9/B8))</f>
        <v>0.0624670407645022</v>
      </c>
      <c r="BA73" s="29" t="n">
        <f aca="false">qR*(sR/B8)*Bfn*(1-BETADIST(BA71,1/B8,B9/B8))</f>
        <v>0.0589338531901237</v>
      </c>
      <c r="BB73" s="29" t="n">
        <f aca="false">qR*(sR/B8)*Bfn*(1-BETADIST(BB71,1/B8,B9/B8))</f>
        <v>0.0556793835014582</v>
      </c>
      <c r="BC73" s="29" t="n">
        <f aca="false">qR*(sR/B8)*Bfn*(1-BETADIST(BC71,1/B8,B9/B8))</f>
        <v>0.0526767715749367</v>
      </c>
      <c r="BD73" s="29" t="n">
        <f aca="false">qR*(sR/B8)*Bfn*(1-BETADIST(BD71,1/B8,B9/B8))</f>
        <v>0.0499020646525576</v>
      </c>
      <c r="BE73" s="29" t="n">
        <f aca="false">qR*(sR/B8)*Bfn*(1-BETADIST(BE71,1/B8,B9/B8))</f>
        <v>0.047333892361149</v>
      </c>
      <c r="BF73" s="29" t="n">
        <f aca="false">qR*(sR/B8)*Bfn*(1-BETADIST(BF71,1/B8,B9/B8))</f>
        <v>0.0449531737149938</v>
      </c>
      <c r="BG73" s="29" t="n">
        <f aca="false">qR*(sR/B8)*Bfn*(1-BETADIST(BG71,1/B8,B9/B8))</f>
        <v>0.04274285516539</v>
      </c>
      <c r="BH73" s="29" t="n">
        <f aca="false">qR*(sR/B8)*Bfn*(1-BETADIST(BH71,1/B8,B9/B8))</f>
        <v>0.0406876777797898</v>
      </c>
      <c r="BI73" s="29" t="n">
        <f aca="false">qR*(sR/B8)*Bfn*(1-BETADIST(BI71,1/B8,B9/B8))</f>
        <v>0.0387739711544454</v>
      </c>
      <c r="BJ73" s="29" t="n">
        <f aca="false">qR*(sR/B8)*Bfn*(1-BETADIST(BJ71,1/B8,B9/B8))</f>
        <v>0.0369894714964675</v>
      </c>
      <c r="BK73" s="29" t="n">
        <f aca="false">qR*(sR/B8)*Bfn*(1-BETADIST(BK71,1/B8,B9/B8))</f>
        <v>0.035323161329865</v>
      </c>
      <c r="BL73" s="29" t="n">
        <f aca="false">qR*(sR/B8)*Bfn*(1-BETADIST(BL71,1/B8,B9/B8))</f>
        <v>0.033765128405659</v>
      </c>
      <c r="BM73" s="29" t="n">
        <f aca="false">qR*(sR/B8)*Bfn*(1-BETADIST(BM71,1/B8,B9/B8))</f>
        <v>0.0323064415776669</v>
      </c>
      <c r="BN73" s="29" t="n">
        <f aca="false">qR*(sR/B8)*Bfn*(1-BETADIST(BN71,1/B8,B9/B8))</f>
        <v>0.0309390416111338</v>
      </c>
      <c r="BO73" s="29" t="n">
        <f aca="false">qR*(sR/B8)*Bfn*(1-BETADIST(BO71,1/B8,B9/B8))</f>
        <v>0.0296556451014927</v>
      </c>
    </row>
    <row r="74" customFormat="false" ht="15" hidden="false" customHeight="false" outlineLevel="0" collapsed="false">
      <c r="A74" s="3" t="s">
        <v>150</v>
      </c>
      <c r="D74" s="10" t="s">
        <v>151</v>
      </c>
      <c r="E74" s="11" t="s">
        <v>152</v>
      </c>
      <c r="G74" s="29" t="n">
        <f aca="false">IF(ABS(G70)&gt;=1,0,qL/(1-G1_)*((sL/B8)*Bfn*(1-BETADIST(G72,1/B8,B9/B8))-I1_-G1_*(1-ABS(G70))))</f>
        <v>0</v>
      </c>
      <c r="H74" s="29" t="n">
        <f aca="false">IF(ABS(H70)&gt;=1,0,qL/(1-G1_)*((sL/B8)*Bfn*(1-BETADIST(H72,1/B8,B9/B8))-I1_-G1_*(1-ABS(H70))))</f>
        <v>6.35339707145027E-005</v>
      </c>
      <c r="I74" s="29" t="n">
        <f aca="false">IF(ABS(I70)&gt;=1,0,qL/(1-G1_)*((sL/B8)*Bfn*(1-BETADIST(I72,1/B8,B9/B8))-I1_-G1_*(1-ABS(I70))))</f>
        <v>0.000261331844276345</v>
      </c>
      <c r="J74" s="29" t="n">
        <f aca="false">IF(ABS(J70)&gt;=1,0,qL/(1-G1_)*((sL/B8)*Bfn*(1-BETADIST(J72,1/B8,B9/B8))-I1_-G1_*(1-ABS(J70))))</f>
        <v>0.000605034788315337</v>
      </c>
      <c r="K74" s="29" t="n">
        <f aca="false">IF(ABS(K70)&gt;=1,0,qL/(1-G1_)*((sL/B8)*Bfn*(1-BETADIST(K72,1/B8,B9/B8))-I1_-G1_*(1-ABS(K70))))</f>
        <v>0.0011075239907279</v>
      </c>
      <c r="L74" s="29" t="n">
        <f aca="false">IF(ABS(L70)&gt;=1,0,qL/(1-G1_)*((sL/B8)*Bfn*(1-BETADIST(L72,1/B8,B9/B8))-I1_-G1_*(1-ABS(L70))))</f>
        <v>0.00178307422766886</v>
      </c>
      <c r="M74" s="29" t="n">
        <f aca="false">IF(ABS(M70)&gt;=1,0,qL/(1-G1_)*((sL/B8)*Bfn*(1-BETADIST(M72,1/B8,B9/B8))-I1_-G1_*(1-ABS(M70))))</f>
        <v>0.00264752838564718</v>
      </c>
      <c r="N74" s="29" t="n">
        <f aca="false">IF(ABS(N70)&gt;=1,0,qL/(1-G1_)*((sL/B8)*Bfn*(1-BETADIST(N72,1/B8,B9/B8))-I1_-G1_*(1-ABS(N70))))</f>
        <v>0.00371849585100026</v>
      </c>
      <c r="O74" s="29" t="n">
        <f aca="false">IF(ABS(O70)&gt;=1,0,qL/(1-G1_)*((sL/B8)*Bfn*(1-BETADIST(O72,1/B8,B9/B8))-I1_-G1_*(1-ABS(O70))))</f>
        <v>0.00501557801583709</v>
      </c>
      <c r="P74" s="29" t="n">
        <f aca="false">IF(ABS(P70)&gt;=1,0,qL/(1-G1_)*((sL/B8)*Bfn*(1-BETADIST(P72,1/B8,B9/B8))-I1_-G1_*(1-ABS(P70))))</f>
        <v>0.00656062447812144</v>
      </c>
      <c r="Q74" s="29" t="n">
        <f aca="false">IF(ABS(Q70)&gt;=1,0,qL/(1-G1_)*((sL/B8)*Bfn*(1-BETADIST(Q72,1/B8,B9/B8))-I1_-G1_*(1-ABS(Q70))))</f>
        <v>0.00837802380366885</v>
      </c>
      <c r="R74" s="29" t="n">
        <f aca="false">IF(ABS(R70)&gt;=1,0,qL/(1-G1_)*((sL/B8)*Bfn*(1-BETADIST(R72,1/B8,B9/B8))-I1_-G1_*(1-ABS(R70))))</f>
        <v>0.0104950329184542</v>
      </c>
      <c r="S74" s="29" t="n">
        <f aca="false">IF(ABS(S70)&gt;=1,0,qL/(1-G1_)*((sL/B8)*Bfn*(1-BETADIST(S72,1/B8,B9/B8))-I1_-G1_*(1-ABS(S70))))</f>
        <v>0.0129421492294575</v>
      </c>
      <c r="T74" s="29" t="n">
        <f aca="false">IF(ABS(T70)&gt;=1,0,qL/(1-G1_)*((sL/B8)*Bfn*(1-BETADIST(T72,1/B8,B9/B8))-I1_-G1_*(1-ABS(T70))))</f>
        <v>0.0157535293037237</v>
      </c>
      <c r="U74" s="29" t="n">
        <f aca="false">IF(ABS(U70)&gt;=1,0,qL/(1-G1_)*((sL/B8)*Bfn*(1-BETADIST(U72,1/B8,B9/B8))-I1_-G1_*(1-ABS(U70))))</f>
        <v>0.0189674571701757</v>
      </c>
      <c r="V74" s="29" t="n">
        <f aca="false">IF(ABS(V70)&gt;=1,0,qL/(1-G1_)*((sL/B8)*Bfn*(1-BETADIST(V72,1/B8,B9/B8))-I1_-G1_*(1-ABS(V70))))</f>
        <v>0.0226268637408821</v>
      </c>
      <c r="W74" s="29" t="n">
        <f aca="false">IF(ABS(W70)&gt;=1,0,qL/(1-G1_)*((sL/B8)*Bfn*(1-BETADIST(W72,1/B8,B9/B8))-I1_-G1_*(1-ABS(W70))))</f>
        <v>0.026779896006485</v>
      </c>
      <c r="X74" s="29" t="n">
        <f aca="false">IF(ABS(X70)&gt;=1,0,qL/(1-G1_)*((sL/B8)*Bfn*(1-BETADIST(X72,1/B8,B9/B8))-I1_-G1_*(1-ABS(X70))))</f>
        <v>0.0314805298180619</v>
      </c>
      <c r="Y74" s="29" t="n">
        <f aca="false">IF(ABS(Y70)&gt;=1,0,qL/(1-G1_)*((sL/B8)*Bfn*(1-BETADIST(Y72,1/B8,B9/B8))-I1_-G1_*(1-ABS(Y70))))</f>
        <v>0.0367892121028785</v>
      </c>
      <c r="Z74" s="29" t="n">
        <f aca="false">IF(ABS(Z70)&gt;=1,0,qL/(1-G1_)*((sL/B8)*Bfn*(1-BETADIST(Z72,1/B8,B9/B8))-I1_-G1_*(1-ABS(Z70))))</f>
        <v>0.0427735055305197</v>
      </c>
      <c r="AA74" s="29" t="n">
        <f aca="false">IF(ABS(AA70)&gt;=1,0,qL/(1-G1_)*((sL/B8)*Bfn*(1-BETADIST(AA72,1/B8,B9/B8))-I1_-G1_*(1-ABS(AA70))))</f>
        <v>0.0495086882117508</v>
      </c>
      <c r="AB74" s="29" t="n">
        <f aca="false">IF(ABS(AB70)&gt;=1,0,qL/(1-G1_)*((sL/B8)*Bfn*(1-BETADIST(AB72,1/B8,B9/B8))-I1_-G1_*(1-ABS(AB70))))</f>
        <v>0.0570782286129151</v>
      </c>
      <c r="AC74" s="29" t="n">
        <f aca="false">IF(ABS(AC70)&gt;=1,0,qL/(1-G1_)*((sL/B8)*Bfn*(1-BETADIST(AC72,1/B8,B9/B8))-I1_-G1_*(1-ABS(AC70))))</f>
        <v>0.0655740043894577</v>
      </c>
      <c r="AD74" s="29" t="n">
        <f aca="false">IF(ABS(AD70)&gt;=1,0,qL/(1-G1_)*((sL/B8)*Bfn*(1-BETADIST(AD72,1/B8,B9/B8))-I1_-G1_*(1-ABS(AD70))))</f>
        <v>0.0750960512725256</v>
      </c>
      <c r="AE74" s="29" t="n">
        <f aca="false">IF(ABS(AE70)&gt;=1,0,qL/(1-G1_)*((sL/B8)*Bfn*(1-BETADIST(AE72,1/B8,B9/B8))-I1_-G1_*(1-ABS(AE70))))</f>
        <v>0.0857514931291825</v>
      </c>
      <c r="AF74" s="29" t="n">
        <f aca="false">IF(ABS(AF70)&gt;=1,0,qL/(1-G1_)*((sL/B8)*Bfn*(1-BETADIST(AF72,1/B8,B9/B8))-I1_-G1_*(1-ABS(AF70))))</f>
        <v>0.0976520758805124</v>
      </c>
      <c r="AG74" s="29" t="n">
        <f aca="false">IF(ABS(AG70)&gt;=1,0,qL/(1-G1_)*((sL/B8)*Bfn*(1-BETADIST(AG72,1/B8,B9/B8))-I1_-G1_*(1-ABS(AG70))))</f>
        <v>0.110909318280603</v>
      </c>
      <c r="AH74" s="29" t="n">
        <f aca="false">IF(ABS(AH70)&gt;=1,0,qL/(1-G1_)*((sL/B8)*Bfn*(1-BETADIST(AH72,1/B8,B9/B8))-I1_-G1_*(1-ABS(AH70))))</f>
        <v>0.125625481854102</v>
      </c>
      <c r="AI74" s="29" t="n">
        <f aca="false">IF(ABS(AI70)&gt;=1,0,qL/(1-G1_)*((sL/B8)*Bfn*(1-BETADIST(AI72,1/B8,B9/B8))-I1_-G1_*(1-ABS(AI70))))</f>
        <v>0.141876667538724</v>
      </c>
      <c r="AJ74" s="29" t="n">
        <f aca="false">IF(ABS(AJ70)&gt;=1,0,qL/(1-G1_)*((sL/B8)*Bfn*(1-BETADIST(AJ72,1/B8,B9/B8))-I1_-G1_*(1-ABS(AJ70))))</f>
        <v>0.159678424040407</v>
      </c>
      <c r="AK74" s="29" t="n">
        <f aca="false">IF(ABS(AK70)&gt;=1,0,qL/(1-G1_)*((sL/B8)*Bfn*(1-BETADIST(AK72,1/B8,B9/B8))-I1_-G1_*(1-ABS(AK70))))</f>
        <v>0.178887890518671</v>
      </c>
      <c r="AL74" s="29" t="n">
        <f aca="false">IF(ABS(AL70)&gt;=1,0,qL/(1-G1_)*((sL/B8)*Bfn*(1-BETADIST(AL72,1/B8,B9/B8))-I1_-G1_*(1-ABS(AL70))))</f>
        <v>0.159678424040407</v>
      </c>
      <c r="AM74" s="29" t="n">
        <f aca="false">IF(ABS(AM70)&gt;=1,0,qL/(1-G1_)*((sL/B8)*Bfn*(1-BETADIST(AM72,1/B8,B9/B8))-I1_-G1_*(1-ABS(AM70))))</f>
        <v>0.141876667538724</v>
      </c>
      <c r="AN74" s="29" t="n">
        <f aca="false">IF(ABS(AN70)&gt;=1,0,qL/(1-G1_)*((sL/B8)*Bfn*(1-BETADIST(AN72,1/B8,B9/B8))-I1_-G1_*(1-ABS(AN70))))</f>
        <v>0.125625481854102</v>
      </c>
      <c r="AO74" s="29" t="n">
        <f aca="false">IF(ABS(AO70)&gt;=1,0,qL/(1-G1_)*((sL/B8)*Bfn*(1-BETADIST(AO72,1/B8,B9/B8))-I1_-G1_*(1-ABS(AO70))))</f>
        <v>0.110909318280603</v>
      </c>
      <c r="AP74" s="29" t="n">
        <f aca="false">IF(ABS(AP70)&gt;=1,0,qL/(1-G1_)*((sL/B8)*Bfn*(1-BETADIST(AP72,1/B8,B9/B8))-I1_-G1_*(1-ABS(AP70))))</f>
        <v>0.0976520758805123</v>
      </c>
      <c r="AQ74" s="29" t="n">
        <f aca="false">IF(ABS(AQ70)&gt;=1,0,qL/(1-G1_)*((sL/B8)*Bfn*(1-BETADIST(AQ72,1/B8,B9/B8))-I1_-G1_*(1-ABS(AQ70))))</f>
        <v>0.0857514931291825</v>
      </c>
      <c r="AR74" s="29" t="n">
        <f aca="false">IF(ABS(AR70)&gt;=1,0,qL/(1-G1_)*((sL/B8)*Bfn*(1-BETADIST(AR72,1/B8,B9/B8))-I1_-G1_*(1-ABS(AR70))))</f>
        <v>0.0750960512725255</v>
      </c>
      <c r="AS74" s="29" t="n">
        <f aca="false">IF(ABS(AS70)&gt;=1,0,qL/(1-G1_)*((sL/B8)*Bfn*(1-BETADIST(AS72,1/B8,B9/B8))-I1_-G1_*(1-ABS(AS70))))</f>
        <v>0.0655740043894578</v>
      </c>
      <c r="AT74" s="29" t="n">
        <f aca="false">IF(ABS(AT70)&gt;=1,0,qL/(1-G1_)*((sL/B8)*Bfn*(1-BETADIST(AT72,1/B8,B9/B8))-I1_-G1_*(1-ABS(AT70))))</f>
        <v>0.0570782286129151</v>
      </c>
      <c r="AU74" s="29" t="n">
        <f aca="false">IF(ABS(AU70)&gt;=1,0,qL/(1-G1_)*((sL/B8)*Bfn*(1-BETADIST(AU72,1/B8,B9/B8))-I1_-G1_*(1-ABS(AU70))))</f>
        <v>0.0495086882117507</v>
      </c>
      <c r="AV74" s="29" t="n">
        <f aca="false">IF(ABS(AV70)&gt;=1,0,qL/(1-G1_)*((sL/B8)*Bfn*(1-BETADIST(AV72,1/B8,B9/B8))-I1_-G1_*(1-ABS(AV70))))</f>
        <v>0.0427735055305197</v>
      </c>
      <c r="AW74" s="29" t="n">
        <f aca="false">IF(ABS(AW70)&gt;=1,0,qL/(1-G1_)*((sL/B8)*Bfn*(1-BETADIST(AW72,1/B8,B9/B8))-I1_-G1_*(1-ABS(AW70))))</f>
        <v>0.0367892121028785</v>
      </c>
      <c r="AX74" s="29" t="n">
        <f aca="false">IF(ABS(AX70)&gt;=1,0,qL/(1-G1_)*((sL/B8)*Bfn*(1-BETADIST(AX72,1/B8,B9/B8))-I1_-G1_*(1-ABS(AX70))))</f>
        <v>0.0314805298180619</v>
      </c>
      <c r="AY74" s="29" t="n">
        <f aca="false">IF(ABS(AY70)&gt;=1,0,qL/(1-G1_)*((sL/B8)*Bfn*(1-BETADIST(AY72,1/B8,B9/B8))-I1_-G1_*(1-ABS(AY70))))</f>
        <v>0.026779896006485</v>
      </c>
      <c r="AZ74" s="29" t="n">
        <f aca="false">IF(ABS(AZ70)&gt;=1,0,qL/(1-G1_)*((sL/B8)*Bfn*(1-BETADIST(AZ72,1/B8,B9/B8))-I1_-G1_*(1-ABS(AZ70))))</f>
        <v>0.0226268637408821</v>
      </c>
      <c r="BA74" s="29" t="n">
        <f aca="false">IF(ABS(BA70)&gt;=1,0,qL/(1-G1_)*((sL/B8)*Bfn*(1-BETADIST(BA72,1/B8,B9/B8))-I1_-G1_*(1-ABS(BA70))))</f>
        <v>0.0189674571701756</v>
      </c>
      <c r="BB74" s="29" t="n">
        <f aca="false">IF(ABS(BB70)&gt;=1,0,qL/(1-G1_)*((sL/B8)*Bfn*(1-BETADIST(BB72,1/B8,B9/B8))-I1_-G1_*(1-ABS(BB70))))</f>
        <v>0.0157535293037237</v>
      </c>
      <c r="BC74" s="29" t="n">
        <f aca="false">IF(ABS(BC70)&gt;=1,0,qL/(1-G1_)*((sL/B8)*Bfn*(1-BETADIST(BC72,1/B8,B9/B8))-I1_-G1_*(1-ABS(BC70))))</f>
        <v>0.0129421492294575</v>
      </c>
      <c r="BD74" s="29" t="n">
        <f aca="false">IF(ABS(BD70)&gt;=1,0,qL/(1-G1_)*((sL/B8)*Bfn*(1-BETADIST(BD72,1/B8,B9/B8))-I1_-G1_*(1-ABS(BD70))))</f>
        <v>0.0104950329184542</v>
      </c>
      <c r="BE74" s="29" t="n">
        <f aca="false">IF(ABS(BE70)&gt;=1,0,qL/(1-G1_)*((sL/B8)*Bfn*(1-BETADIST(BE72,1/B8,B9/B8))-I1_-G1_*(1-ABS(BE70))))</f>
        <v>0.00837802380366885</v>
      </c>
      <c r="BF74" s="29" t="n">
        <f aca="false">IF(ABS(BF70)&gt;=1,0,qL/(1-G1_)*((sL/B8)*Bfn*(1-BETADIST(BF72,1/B8,B9/B8))-I1_-G1_*(1-ABS(BF70))))</f>
        <v>0.00656062447812144</v>
      </c>
      <c r="BG74" s="29" t="n">
        <f aca="false">IF(ABS(BG70)&gt;=1,0,qL/(1-G1_)*((sL/B8)*Bfn*(1-BETADIST(BG72,1/B8,B9/B8))-I1_-G1_*(1-ABS(BG70))))</f>
        <v>0.00501557801583709</v>
      </c>
      <c r="BH74" s="29" t="n">
        <f aca="false">IF(ABS(BH70)&gt;=1,0,qL/(1-G1_)*((sL/B8)*Bfn*(1-BETADIST(BH72,1/B8,B9/B8))-I1_-G1_*(1-ABS(BH70))))</f>
        <v>0.00371849585100026</v>
      </c>
      <c r="BI74" s="29" t="n">
        <f aca="false">IF(ABS(BI70)&gt;=1,0,qL/(1-G1_)*((sL/B8)*Bfn*(1-BETADIST(BI72,1/B8,B9/B8))-I1_-G1_*(1-ABS(BI70))))</f>
        <v>0.00264752838564718</v>
      </c>
      <c r="BJ74" s="29" t="n">
        <f aca="false">IF(ABS(BJ70)&gt;=1,0,qL/(1-G1_)*((sL/B8)*Bfn*(1-BETADIST(BJ72,1/B8,B9/B8))-I1_-G1_*(1-ABS(BJ70))))</f>
        <v>0.00178307422766885</v>
      </c>
      <c r="BK74" s="29" t="n">
        <f aca="false">IF(ABS(BK70)&gt;=1,0,qL/(1-G1_)*((sL/B8)*Bfn*(1-BETADIST(BK72,1/B8,B9/B8))-I1_-G1_*(1-ABS(BK70))))</f>
        <v>0.0011075239907279</v>
      </c>
      <c r="BL74" s="29" t="n">
        <f aca="false">IF(ABS(BL70)&gt;=1,0,qL/(1-G1_)*((sL/B8)*Bfn*(1-BETADIST(BL72,1/B8,B9/B8))-I1_-G1_*(1-ABS(BL70))))</f>
        <v>0.000605034788315331</v>
      </c>
      <c r="BM74" s="29" t="n">
        <f aca="false">IF(ABS(BM70)&gt;=1,0,qL/(1-G1_)*((sL/B8)*Bfn*(1-BETADIST(BM72,1/B8,B9/B8))-I1_-G1_*(1-ABS(BM70))))</f>
        <v>0.000261331844276345</v>
      </c>
      <c r="BN74" s="29" t="n">
        <f aca="false">IF(ABS(BN70)&gt;=1,0,qL/(1-G1_)*((sL/B8)*Bfn*(1-BETADIST(BN72,1/B8,B9/B8))-I1_-G1_*(1-ABS(BN70))))</f>
        <v>6.35339707144959E-005</v>
      </c>
      <c r="BO74" s="29" t="n">
        <f aca="false">IF(ABS(BO70)&gt;=1,0,qL/(1-G1_)*((sL/B8)*Bfn*(1-BETADIST(BO72,1/B8,B9/B8))-I1_-G1_*(1-ABS(BO70))))</f>
        <v>0</v>
      </c>
    </row>
    <row r="75" customFormat="false" ht="15" hidden="false" customHeight="false" outlineLevel="0" collapsed="false">
      <c r="A75" s="3" t="s">
        <v>153</v>
      </c>
      <c r="D75" s="10" t="s">
        <v>154</v>
      </c>
      <c r="E75" s="11" t="s">
        <v>155</v>
      </c>
      <c r="G75" s="29" t="n">
        <f aca="false">1/(1+(sRA/MAX(ABS(G70),0.000000001))^B8)</f>
        <v>0.679606081687089</v>
      </c>
      <c r="H75" s="29" t="n">
        <f aca="false">1/(1+(sRA/MAX(ABS(H70),0.000000001))^B8)</f>
        <v>0.670155884639946</v>
      </c>
      <c r="I75" s="29" t="n">
        <f aca="false">1/(1+(sRA/MAX(ABS(I70),0.000000001))^B8)</f>
        <v>0.66022715574624</v>
      </c>
      <c r="J75" s="29" t="n">
        <f aca="false">1/(1+(sRA/MAX(ABS(J70),0.000000001))^B8)</f>
        <v>0.649786657287755</v>
      </c>
      <c r="K75" s="29" t="n">
        <f aca="false">1/(1+(sRA/MAX(ABS(K70),0.000000001))^B8)</f>
        <v>0.638798359145007</v>
      </c>
      <c r="L75" s="29" t="n">
        <f aca="false">1/(1+(sRA/MAX(ABS(L70),0.000000001))^B8)</f>
        <v>0.627223190243173</v>
      </c>
      <c r="M75" s="29" t="n">
        <f aca="false">1/(1+(sRA/MAX(ABS(M70),0.000000001))^B8)</f>
        <v>0.615018773658657</v>
      </c>
      <c r="N75" s="29" t="n">
        <f aca="false">1/(1+(sRA/MAX(ABS(N70),0.000000001))^B8)</f>
        <v>0.602139147461797</v>
      </c>
      <c r="O75" s="29" t="n">
        <f aca="false">1/(1+(sRA/MAX(ABS(O70),0.000000001))^B8)</f>
        <v>0.588534475103419</v>
      </c>
      <c r="P75" s="29" t="n">
        <f aca="false">1/(1+(sRA/MAX(ABS(P70),0.000000001))^B8)</f>
        <v>0.574150751671935</v>
      </c>
      <c r="Q75" s="29" t="n">
        <f aca="false">1/(1+(sRA/MAX(ABS(Q70),0.000000001))^B8)</f>
        <v>0.558929515985081</v>
      </c>
      <c r="R75" s="29" t="n">
        <f aca="false">1/(1+(sRA/MAX(ABS(R70),0.000000001))^B8)</f>
        <v>0.542807583711148</v>
      </c>
      <c r="S75" s="29" t="n">
        <f aca="false">1/(1+(sRA/MAX(ABS(S70),0.000000001))^B8)</f>
        <v>0.525716824222551</v>
      </c>
      <c r="T75" s="29" t="n">
        <f aca="false">1/(1+(sRA/MAX(ABS(T70),0.000000001))^B8)</f>
        <v>0.507584014661885</v>
      </c>
      <c r="U75" s="29" t="n">
        <f aca="false">1/(1+(sRA/MAX(ABS(U70),0.000000001))^B8)</f>
        <v>0.488330820198752</v>
      </c>
      <c r="V75" s="29" t="n">
        <f aca="false">1/(1+(sRA/MAX(ABS(V70),0.000000001))^B8)</f>
        <v>0.467873971820314</v>
      </c>
      <c r="W75" s="29" t="n">
        <f aca="false">1/(1+(sRA/MAX(ABS(W70),0.000000001))^B8)</f>
        <v>0.446125745442381</v>
      </c>
      <c r="X75" s="29" t="n">
        <f aca="false">1/(1+(sRA/MAX(ABS(X70),0.000000001))^B8)</f>
        <v>0.422994893536556</v>
      </c>
      <c r="Y75" s="29" t="n">
        <f aca="false">1/(1+(sRA/MAX(ABS(Y70),0.000000001))^B8)</f>
        <v>0.398388250420777</v>
      </c>
      <c r="Z75" s="29" t="n">
        <f aca="false">1/(1+(sRA/MAX(ABS(Z70),0.000000001))^B8)</f>
        <v>0.372213336907173</v>
      </c>
      <c r="AA75" s="29" t="n">
        <f aca="false">1/(1+(sRA/MAX(ABS(AA70),0.000000001))^B8)</f>
        <v>0.344382448932851</v>
      </c>
      <c r="AB75" s="29" t="n">
        <f aca="false">1/(1+(sRA/MAX(ABS(AB70),0.000000001))^B8)</f>
        <v>0.314818961980674</v>
      </c>
      <c r="AC75" s="29" t="n">
        <f aca="false">1/(1+(sRA/MAX(ABS(AC70),0.000000001))^B8)</f>
        <v>0.283466979621019</v>
      </c>
      <c r="AD75" s="29" t="n">
        <f aca="false">1/(1+(sRA/MAX(ABS(AD70),0.000000001))^B8)</f>
        <v>0.25030611823528</v>
      </c>
      <c r="AE75" s="29" t="n">
        <f aca="false">1/(1+(sRA/MAX(ABS(AE70),0.000000001))^B8)</f>
        <v>0.215374398274848</v>
      </c>
      <c r="AF75" s="29" t="n">
        <f aca="false">1/(1+(sRA/MAX(ABS(AF70),0.000000001))^B8)</f>
        <v>0.178804481600647</v>
      </c>
      <c r="AG75" s="29" t="n">
        <f aca="false">1/(1+(sRA/MAX(ABS(AG70),0.000000001))^B8)</f>
        <v>0.140883384471685</v>
      </c>
      <c r="AH75" s="29" t="n">
        <f aca="false">1/(1+(sRA/MAX(ABS(AH70),0.000000001))^B8)</f>
        <v>0.102158111573747</v>
      </c>
      <c r="AI75" s="29" t="n">
        <f aca="false">1/(1+(sRA/MAX(ABS(AI70),0.000000001))^B8)</f>
        <v>0.063648470590691</v>
      </c>
      <c r="AJ75" s="29" t="n">
        <f aca="false">1/(1+(sRA/MAX(ABS(AJ70),0.000000001))^B8)</f>
        <v>0.0274045498289703</v>
      </c>
      <c r="AK75" s="29" t="n">
        <f aca="false">1/(1+(sRA/MAX(ABS(AK70),0.000000001))^B8)</f>
        <v>7.79961189409879E-012</v>
      </c>
      <c r="AL75" s="29" t="n">
        <f aca="false">1/(1+(sRA/MAX(ABS(AL70),0.000000001))^B8)</f>
        <v>0.0274045498289704</v>
      </c>
      <c r="AM75" s="29" t="n">
        <f aca="false">1/(1+(sRA/MAX(ABS(AM70),0.000000001))^B8)</f>
        <v>0.063648470590691</v>
      </c>
      <c r="AN75" s="29" t="n">
        <f aca="false">1/(1+(sRA/MAX(ABS(AN70),0.000000001))^B8)</f>
        <v>0.102158111573748</v>
      </c>
      <c r="AO75" s="29" t="n">
        <f aca="false">1/(1+(sRA/MAX(ABS(AO70),0.000000001))^B8)</f>
        <v>0.140883384471685</v>
      </c>
      <c r="AP75" s="29" t="n">
        <f aca="false">1/(1+(sRA/MAX(ABS(AP70),0.000000001))^B8)</f>
        <v>0.178804481600647</v>
      </c>
      <c r="AQ75" s="29" t="n">
        <f aca="false">1/(1+(sRA/MAX(ABS(AQ70),0.000000001))^B8)</f>
        <v>0.215374398274848</v>
      </c>
      <c r="AR75" s="29" t="n">
        <f aca="false">1/(1+(sRA/MAX(ABS(AR70),0.000000001))^B8)</f>
        <v>0.25030611823528</v>
      </c>
      <c r="AS75" s="29" t="n">
        <f aca="false">1/(1+(sRA/MAX(ABS(AS70),0.000000001))^B8)</f>
        <v>0.283466979621019</v>
      </c>
      <c r="AT75" s="29" t="n">
        <f aca="false">1/(1+(sRA/MAX(ABS(AT70),0.000000001))^B8)</f>
        <v>0.314818961980674</v>
      </c>
      <c r="AU75" s="29" t="n">
        <f aca="false">1/(1+(sRA/MAX(ABS(AU70),0.000000001))^B8)</f>
        <v>0.344382448932851</v>
      </c>
      <c r="AV75" s="29" t="n">
        <f aca="false">1/(1+(sRA/MAX(ABS(AV70),0.000000001))^B8)</f>
        <v>0.372213336907173</v>
      </c>
      <c r="AW75" s="29" t="n">
        <f aca="false">1/(1+(sRA/MAX(ABS(AW70),0.000000001))^B8)</f>
        <v>0.398388250420777</v>
      </c>
      <c r="AX75" s="29" t="n">
        <f aca="false">1/(1+(sRA/MAX(ABS(AX70),0.000000001))^B8)</f>
        <v>0.422994893536556</v>
      </c>
      <c r="AY75" s="29" t="n">
        <f aca="false">1/(1+(sRA/MAX(ABS(AY70),0.000000001))^B8)</f>
        <v>0.446125745442381</v>
      </c>
      <c r="AZ75" s="29" t="n">
        <f aca="false">1/(1+(sRA/MAX(ABS(AZ70),0.000000001))^B8)</f>
        <v>0.467873971820314</v>
      </c>
      <c r="BA75" s="29" t="n">
        <f aca="false">1/(1+(sRA/MAX(ABS(BA70),0.000000001))^B8)</f>
        <v>0.488330820198752</v>
      </c>
      <c r="BB75" s="29" t="n">
        <f aca="false">1/(1+(sRA/MAX(ABS(BB70),0.000000001))^B8)</f>
        <v>0.507584014661885</v>
      </c>
      <c r="BC75" s="29" t="n">
        <f aca="false">1/(1+(sRA/MAX(ABS(BC70),0.000000001))^B8)</f>
        <v>0.525716824222551</v>
      </c>
      <c r="BD75" s="29" t="n">
        <f aca="false">1/(1+(sRA/MAX(ABS(BD70),0.000000001))^B8)</f>
        <v>0.542807583711148</v>
      </c>
      <c r="BE75" s="29" t="n">
        <f aca="false">1/(1+(sRA/MAX(ABS(BE70),0.000000001))^B8)</f>
        <v>0.558929515985081</v>
      </c>
      <c r="BF75" s="29" t="n">
        <f aca="false">1/(1+(sRA/MAX(ABS(BF70),0.000000001))^B8)</f>
        <v>0.574150751671935</v>
      </c>
      <c r="BG75" s="29" t="n">
        <f aca="false">1/(1+(sRA/MAX(ABS(BG70),0.000000001))^B8)</f>
        <v>0.588534475103419</v>
      </c>
      <c r="BH75" s="29" t="n">
        <f aca="false">1/(1+(sRA/MAX(ABS(BH70),0.000000001))^B8)</f>
        <v>0.602139147461797</v>
      </c>
      <c r="BI75" s="29" t="n">
        <f aca="false">1/(1+(sRA/MAX(ABS(BI70),0.000000001))^B8)</f>
        <v>0.615018773658657</v>
      </c>
      <c r="BJ75" s="29" t="n">
        <f aca="false">1/(1+(sRA/MAX(ABS(BJ70),0.000000001))^B8)</f>
        <v>0.627223190243173</v>
      </c>
      <c r="BK75" s="29" t="n">
        <f aca="false">1/(1+(sRA/MAX(ABS(BK70),0.000000001))^B8)</f>
        <v>0.638798359145007</v>
      </c>
      <c r="BL75" s="29" t="n">
        <f aca="false">1/(1+(sRA/MAX(ABS(BL70),0.000000001))^B8)</f>
        <v>0.649786657287755</v>
      </c>
      <c r="BM75" s="29" t="n">
        <f aca="false">1/(1+(sRA/MAX(ABS(BM70),0.000000001))^B8)</f>
        <v>0.66022715574624</v>
      </c>
      <c r="BN75" s="29" t="n">
        <f aca="false">1/(1+(sRA/MAX(ABS(BN70),0.000000001))^B8)</f>
        <v>0.670155884639946</v>
      </c>
      <c r="BO75" s="29" t="n">
        <f aca="false">1/(1+(sRA/MAX(ABS(BO70),0.000000001))^B8)</f>
        <v>0.679606081687089</v>
      </c>
    </row>
    <row r="76" customFormat="false" ht="15" hidden="false" customHeight="false" outlineLevel="0" collapsed="false">
      <c r="A76" s="3" t="s">
        <v>156</v>
      </c>
      <c r="D76" s="10" t="s">
        <v>157</v>
      </c>
      <c r="E76" s="11" t="s">
        <v>158</v>
      </c>
      <c r="G76" s="29" t="n">
        <f aca="false">1/(1+(sLA/MAX(ABS(G70),0.000000001))^B8)</f>
        <v>0.635009223783663</v>
      </c>
      <c r="H76" s="29" t="n">
        <f aca="false">1/(1+(sLA/MAX(ABS(H70),0.000000001))^B8)</f>
        <v>0.624969506528616</v>
      </c>
      <c r="I76" s="29" t="n">
        <f aca="false">1/(1+(sLA/MAX(ABS(I70),0.000000001))^B8)</f>
        <v>0.614463106743913</v>
      </c>
      <c r="J76" s="29" t="n">
        <f aca="false">1/(1+(sLA/MAX(ABS(J70),0.000000001))^B8)</f>
        <v>0.603460973232587</v>
      </c>
      <c r="K76" s="29" t="n">
        <f aca="false">1/(1+(sLA/MAX(ABS(K70),0.000000001))^B8)</f>
        <v>0.591931971913727</v>
      </c>
      <c r="L76" s="29" t="n">
        <f aca="false">1/(1+(sLA/MAX(ABS(L70),0.000000001))^B8)</f>
        <v>0.579842750920275</v>
      </c>
      <c r="M76" s="29" t="n">
        <f aca="false">1/(1+(sLA/MAX(ABS(M70),0.000000001))^B8)</f>
        <v>0.567157607383082</v>
      </c>
      <c r="N76" s="29" t="n">
        <f aca="false">1/(1+(sLA/MAX(ABS(N70),0.000000001))^B8)</f>
        <v>0.553838360595144</v>
      </c>
      <c r="O76" s="29" t="n">
        <f aca="false">1/(1+(sLA/MAX(ABS(O70),0.000000001))^B8)</f>
        <v>0.539844238200439</v>
      </c>
      <c r="P76" s="29" t="n">
        <f aca="false">1/(1+(sLA/MAX(ABS(P70),0.000000001))^B8)</f>
        <v>0.525131784708128</v>
      </c>
      <c r="Q76" s="29" t="n">
        <f aca="false">1/(1+(sLA/MAX(ABS(Q70),0.000000001))^B8)</f>
        <v>0.50965480525359</v>
      </c>
      <c r="R76" s="29" t="n">
        <f aca="false">1/(1+(sLA/MAX(ABS(R70),0.000000001))^B8)</f>
        <v>0.493364362471481</v>
      </c>
      <c r="S76" s="29" t="n">
        <f aca="false">1/(1+(sLA/MAX(ABS(S70),0.000000001))^B8)</f>
        <v>0.476208851115921</v>
      </c>
      <c r="T76" s="29" t="n">
        <f aca="false">1/(1+(sLA/MAX(ABS(T70),0.000000001))^B8)</f>
        <v>0.458134184370368</v>
      </c>
      <c r="U76" s="29" t="n">
        <f aca="false">1/(1+(sLA/MAX(ABS(U70),0.000000001))^B8)</f>
        <v>0.439084138653002</v>
      </c>
      <c r="V76" s="29" t="n">
        <f aca="false">1/(1+(sLA/MAX(ABS(V70),0.000000001))^B8)</f>
        <v>0.41900092162044</v>
      </c>
      <c r="W76" s="29" t="n">
        <f aca="false">1/(1+(sLA/MAX(ABS(W70),0.000000001))^B8)</f>
        <v>0.397826053185221</v>
      </c>
      <c r="X76" s="29" t="n">
        <f aca="false">1/(1+(sLA/MAX(ABS(X70),0.000000001))^B8)</f>
        <v>0.375501684981242</v>
      </c>
      <c r="Y76" s="29" t="n">
        <f aca="false">1/(1+(sLA/MAX(ABS(Y70),0.000000001))^B8)</f>
        <v>0.351972534929115</v>
      </c>
      <c r="Z76" s="29" t="n">
        <f aca="false">1/(1+(sLA/MAX(ABS(Z70),0.000000001))^B8)</f>
        <v>0.327188688512337</v>
      </c>
      <c r="AA76" s="29" t="n">
        <f aca="false">1/(1+(sLA/MAX(ABS(AA70),0.000000001))^B8)</f>
        <v>0.301109630619034</v>
      </c>
      <c r="AB76" s="29" t="n">
        <f aca="false">1/(1+(sLA/MAX(ABS(AB70),0.000000001))^B8)</f>
        <v>0.273710044983016</v>
      </c>
      <c r="AC76" s="29" t="n">
        <f aca="false">1/(1+(sLA/MAX(ABS(AC70),0.000000001))^B8)</f>
        <v>0.244988196163122</v>
      </c>
      <c r="AD76" s="29" t="n">
        <f aca="false">1/(1+(sLA/MAX(ABS(AD70),0.000000001))^B8)</f>
        <v>0.214978178607696</v>
      </c>
      <c r="AE76" s="29" t="n">
        <f aca="false">1/(1+(sLA/MAX(ABS(AE70),0.000000001))^B8)</f>
        <v>0.183768166476297</v>
      </c>
      <c r="AF76" s="29" t="n">
        <f aca="false">1/(1+(sLA/MAX(ABS(AF70),0.000000001))^B8)</f>
        <v>0.151528474994703</v>
      </c>
      <c r="AG76" s="29" t="n">
        <f aca="false">1/(1+(sLA/MAX(ABS(AG70),0.000000001))^B8)</f>
        <v>0.118556961738446</v>
      </c>
      <c r="AH76" s="29" t="n">
        <f aca="false">1/(1+(sLA/MAX(ABS(AH70),0.000000001))^B8)</f>
        <v>0.0853589084894953</v>
      </c>
      <c r="AI76" s="29" t="n">
        <f aca="false">1/(1+(sLA/MAX(ABS(AI70),0.000000001))^B8)</f>
        <v>0.052809439827974</v>
      </c>
      <c r="AJ76" s="29" t="n">
        <f aca="false">1/(1+(sLA/MAX(ABS(AJ70),0.000000001))^B8)</f>
        <v>0.0225887868396481</v>
      </c>
      <c r="AK76" s="29" t="n">
        <f aca="false">1/(1+(sLA/MAX(ABS(AK70),0.000000001))^B8)</f>
        <v>6.39732101860775E-012</v>
      </c>
      <c r="AL76" s="29" t="n">
        <f aca="false">1/(1+(sLA/MAX(ABS(AL70),0.000000001))^B8)</f>
        <v>0.0225887868396482</v>
      </c>
      <c r="AM76" s="29" t="n">
        <f aca="false">1/(1+(sLA/MAX(ABS(AM70),0.000000001))^B8)</f>
        <v>0.052809439827974</v>
      </c>
      <c r="AN76" s="29" t="n">
        <f aca="false">1/(1+(sLA/MAX(ABS(AN70),0.000000001))^B8)</f>
        <v>0.0853589084894954</v>
      </c>
      <c r="AO76" s="29" t="n">
        <f aca="false">1/(1+(sLA/MAX(ABS(AO70),0.000000001))^B8)</f>
        <v>0.118556961738446</v>
      </c>
      <c r="AP76" s="29" t="n">
        <f aca="false">1/(1+(sLA/MAX(ABS(AP70),0.000000001))^B8)</f>
        <v>0.151528474994704</v>
      </c>
      <c r="AQ76" s="29" t="n">
        <f aca="false">1/(1+(sLA/MAX(ABS(AQ70),0.000000001))^B8)</f>
        <v>0.183768166476297</v>
      </c>
      <c r="AR76" s="29" t="n">
        <f aca="false">1/(1+(sLA/MAX(ABS(AR70),0.000000001))^B8)</f>
        <v>0.214978178607696</v>
      </c>
      <c r="AS76" s="29" t="n">
        <f aca="false">1/(1+(sLA/MAX(ABS(AS70),0.000000001))^B8)</f>
        <v>0.244988196163122</v>
      </c>
      <c r="AT76" s="29" t="n">
        <f aca="false">1/(1+(sLA/MAX(ABS(AT70),0.000000001))^B8)</f>
        <v>0.273710044983016</v>
      </c>
      <c r="AU76" s="29" t="n">
        <f aca="false">1/(1+(sLA/MAX(ABS(AU70),0.000000001))^B8)</f>
        <v>0.301109630619033</v>
      </c>
      <c r="AV76" s="29" t="n">
        <f aca="false">1/(1+(sLA/MAX(ABS(AV70),0.000000001))^B8)</f>
        <v>0.327188688512337</v>
      </c>
      <c r="AW76" s="29" t="n">
        <f aca="false">1/(1+(sLA/MAX(ABS(AW70),0.000000001))^B8)</f>
        <v>0.351972534929114</v>
      </c>
      <c r="AX76" s="29" t="n">
        <f aca="false">1/(1+(sLA/MAX(ABS(AX70),0.000000001))^B8)</f>
        <v>0.375501684981242</v>
      </c>
      <c r="AY76" s="29" t="n">
        <f aca="false">1/(1+(sLA/MAX(ABS(AY70),0.000000001))^B8)</f>
        <v>0.397826053185221</v>
      </c>
      <c r="AZ76" s="29" t="n">
        <f aca="false">1/(1+(sLA/MAX(ABS(AZ70),0.000000001))^B8)</f>
        <v>0.41900092162044</v>
      </c>
      <c r="BA76" s="29" t="n">
        <f aca="false">1/(1+(sLA/MAX(ABS(BA70),0.000000001))^B8)</f>
        <v>0.439084138653002</v>
      </c>
      <c r="BB76" s="29" t="n">
        <f aca="false">1/(1+(sLA/MAX(ABS(BB70),0.000000001))^B8)</f>
        <v>0.458134184370368</v>
      </c>
      <c r="BC76" s="29" t="n">
        <f aca="false">1/(1+(sLA/MAX(ABS(BC70),0.000000001))^B8)</f>
        <v>0.476208851115922</v>
      </c>
      <c r="BD76" s="29" t="n">
        <f aca="false">1/(1+(sLA/MAX(ABS(BD70),0.000000001))^B8)</f>
        <v>0.493364362471481</v>
      </c>
      <c r="BE76" s="29" t="n">
        <f aca="false">1/(1+(sLA/MAX(ABS(BE70),0.000000001))^B8)</f>
        <v>0.50965480525359</v>
      </c>
      <c r="BF76" s="29" t="n">
        <f aca="false">1/(1+(sLA/MAX(ABS(BF70),0.000000001))^B8)</f>
        <v>0.525131784708128</v>
      </c>
      <c r="BG76" s="29" t="n">
        <f aca="false">1/(1+(sLA/MAX(ABS(BG70),0.000000001))^B8)</f>
        <v>0.539844238200439</v>
      </c>
      <c r="BH76" s="29" t="n">
        <f aca="false">1/(1+(sLA/MAX(ABS(BH70),0.000000001))^B8)</f>
        <v>0.553838360595144</v>
      </c>
      <c r="BI76" s="29" t="n">
        <f aca="false">1/(1+(sLA/MAX(ABS(BI70),0.000000001))^B8)</f>
        <v>0.567157607383082</v>
      </c>
      <c r="BJ76" s="29" t="n">
        <f aca="false">1/(1+(sLA/MAX(ABS(BJ70),0.000000001))^B8)</f>
        <v>0.579842750920275</v>
      </c>
      <c r="BK76" s="29" t="n">
        <f aca="false">1/(1+(sLA/MAX(ABS(BK70),0.000000001))^B8)</f>
        <v>0.591931971913727</v>
      </c>
      <c r="BL76" s="29" t="n">
        <f aca="false">1/(1+(sLA/MAX(ABS(BL70),0.000000001))^B8)</f>
        <v>0.603460973232587</v>
      </c>
      <c r="BM76" s="29" t="n">
        <f aca="false">1/(1+(sLA/MAX(ABS(BM70),0.000000001))^B8)</f>
        <v>0.614463106743913</v>
      </c>
      <c r="BN76" s="29" t="n">
        <f aca="false">1/(1+(sLA/MAX(ABS(BN70),0.000000001))^B8)</f>
        <v>0.624969506528616</v>
      </c>
      <c r="BO76" s="29" t="n">
        <f aca="false">1/(1+(sLA/MAX(ABS(BO70),0.000000001))^B8)</f>
        <v>0.635009223783663</v>
      </c>
    </row>
    <row r="77" customFormat="false" ht="15" hidden="false" customHeight="false" outlineLevel="0" collapsed="false">
      <c r="A77" s="3" t="s">
        <v>159</v>
      </c>
      <c r="D77" s="10" t="s">
        <v>160</v>
      </c>
      <c r="E77" s="11" t="s">
        <v>161</v>
      </c>
      <c r="G77" s="29" t="n">
        <f aca="false">qRA*(sRA/B8)*Bfn*(1-BETADIST(G75,1/B8,B9/B8))</f>
        <v>0.0264633785653976</v>
      </c>
      <c r="H77" s="29" t="n">
        <f aca="false">qRA*(sRA/B8)*Bfn*(1-BETADIST(H75,1/B8,B9/B8))</f>
        <v>0.0276456653991625</v>
      </c>
      <c r="I77" s="29" t="n">
        <f aca="false">qRA*(sRA/B8)*Bfn*(1-BETADIST(I75,1/B8,B9/B8))</f>
        <v>0.0289081990173176</v>
      </c>
      <c r="J77" s="29" t="n">
        <f aca="false">qRA*(sRA/B8)*Bfn*(1-BETADIST(J75,1/B8,B9/B8))</f>
        <v>0.0302582311881751</v>
      </c>
      <c r="K77" s="29" t="n">
        <f aca="false">qRA*(sRA/B8)*Bfn*(1-BETADIST(K75,1/B8,B9/B8))</f>
        <v>0.03170382405376</v>
      </c>
      <c r="L77" s="29" t="n">
        <f aca="false">qRA*(sRA/B8)*Bfn*(1-BETADIST(L75,1/B8,B9/B8))</f>
        <v>0.0332539564191288</v>
      </c>
      <c r="M77" s="29" t="n">
        <f aca="false">qRA*(sRA/B8)*Bfn*(1-BETADIST(M75,1/B8,B9/B8))</f>
        <v>0.0349186456546564</v>
      </c>
      <c r="N77" s="29" t="n">
        <f aca="false">qRA*(sRA/B8)*Bfn*(1-BETADIST(N75,1/B8,B9/B8))</f>
        <v>0.0367090876337204</v>
      </c>
      <c r="O77" s="29" t="n">
        <f aca="false">qRA*(sRA/B8)*Bfn*(1-BETADIST(O75,1/B8,B9/B8))</f>
        <v>0.038637817481492</v>
      </c>
      <c r="P77" s="29" t="n">
        <f aca="false">qRA*(sRA/B8)*Bfn*(1-BETADIST(P75,1/B8,B9/B8))</f>
        <v>0.04071889429203</v>
      </c>
      <c r="Q77" s="29" t="n">
        <f aca="false">qRA*(sRA/B8)*Bfn*(1-BETADIST(Q75,1/B8,B9/B8))</f>
        <v>0.0429681133671775</v>
      </c>
      <c r="R77" s="29" t="n">
        <f aca="false">qRA*(sRA/B8)*Bfn*(1-BETADIST(R75,1/B8,B9/B8))</f>
        <v>0.0454032499161775</v>
      </c>
      <c r="S77" s="29" t="n">
        <f aca="false">qRA*(sRA/B8)*Bfn*(1-BETADIST(S75,1/B8,B9/B8))</f>
        <v>0.0480443384839393</v>
      </c>
      <c r="T77" s="29" t="n">
        <f aca="false">qRA*(sRA/B8)*Bfn*(1-BETADIST(T75,1/B8,B9/B8))</f>
        <v>0.0509139925713626</v>
      </c>
      <c r="U77" s="29" t="n">
        <f aca="false">qRA*(sRA/B8)*Bfn*(1-BETADIST(U75,1/B8,B9/B8))</f>
        <v>0.054037768845704</v>
      </c>
      <c r="V77" s="29" t="n">
        <f aca="false">qRA*(sRA/B8)*Bfn*(1-BETADIST(V75,1/B8,B9/B8))</f>
        <v>0.0574445798058554</v>
      </c>
      <c r="W77" s="29" t="n">
        <f aca="false">qRA*(sRA/B8)*Bfn*(1-BETADIST(W75,1/B8,B9/B8))</f>
        <v>0.0611671574341088</v>
      </c>
      <c r="X77" s="29" t="n">
        <f aca="false">qRA*(sRA/B8)*Bfn*(1-BETADIST(X75,1/B8,B9/B8))</f>
        <v>0.0652425677006929</v>
      </c>
      <c r="Y77" s="29" t="n">
        <f aca="false">qRA*(sRA/B8)*Bfn*(1-BETADIST(Y75,1/B8,B9/B8))</f>
        <v>0.0697127709406011</v>
      </c>
      <c r="Z77" s="29" t="n">
        <f aca="false">qRA*(sRA/B8)*Bfn*(1-BETADIST(Z75,1/B8,B9/B8))</f>
        <v>0.0746252147340979</v>
      </c>
      <c r="AA77" s="29" t="n">
        <f aca="false">qRA*(sRA/B8)*Bfn*(1-BETADIST(AA75,1/B8,B9/B8))</f>
        <v>0.0800334318027274</v>
      </c>
      <c r="AB77" s="29" t="n">
        <f aca="false">qRA*(sRA/B8)*Bfn*(1-BETADIST(AB75,1/B8,B9/B8))</f>
        <v>0.085997592016441</v>
      </c>
      <c r="AC77" s="29" t="n">
        <f aca="false">qRA*(sRA/B8)*Bfn*(1-BETADIST(AC75,1/B8,B9/B8))</f>
        <v>0.0925849189892273</v>
      </c>
      <c r="AD77" s="29" t="n">
        <f aca="false">qRA*(sRA/B8)*Bfn*(1-BETADIST(AD75,1/B8,B9/B8))</f>
        <v>0.0998698178686398</v>
      </c>
      <c r="AE77" s="29" t="n">
        <f aca="false">qRA*(sRA/B8)*Bfn*(1-BETADIST(AE75,1/B8,B9/B8))</f>
        <v>0.107933453947785</v>
      </c>
      <c r="AF77" s="29" t="n">
        <f aca="false">qRA*(sRA/B8)*Bfn*(1-BETADIST(AF75,1/B8,B9/B8))</f>
        <v>0.116862337784548</v>
      </c>
      <c r="AG77" s="29" t="n">
        <f aca="false">qRA*(sRA/B8)*Bfn*(1-BETADIST(AG75,1/B8,B9/B8))</f>
        <v>0.126745140556129</v>
      </c>
      <c r="AH77" s="29" t="n">
        <f aca="false">qRA*(sRA/B8)*Bfn*(1-BETADIST(AH75,1/B8,B9/B8))</f>
        <v>0.13766631021132</v>
      </c>
      <c r="AI77" s="29" t="n">
        <f aca="false">qRA*(sRA/B8)*Bfn*(1-BETADIST(AI75,1/B8,B9/B8))</f>
        <v>0.14969355911744</v>
      </c>
      <c r="AJ77" s="29" t="n">
        <f aca="false">qRA*(sRA/B8)*Bfn*(1-BETADIST(AJ75,1/B8,B9/B8))</f>
        <v>0.16285171938452</v>
      </c>
      <c r="AK77" s="29" t="n">
        <f aca="false">qRA*(sRA/B8)*Bfn*(1-BETADIST(AK75,1/B8,B9/B8))</f>
        <v>0.177048014303763</v>
      </c>
      <c r="AL77" s="29" t="n">
        <f aca="false">qRA*(sRA/B8)*Bfn*(1-BETADIST(AL75,1/B8,B9/B8))</f>
        <v>0.16285171938452</v>
      </c>
      <c r="AM77" s="29" t="n">
        <f aca="false">qRA*(sRA/B8)*Bfn*(1-BETADIST(AM75,1/B8,B9/B8))</f>
        <v>0.14969355911744</v>
      </c>
      <c r="AN77" s="29" t="n">
        <f aca="false">qRA*(sRA/B8)*Bfn*(1-BETADIST(AN75,1/B8,B9/B8))</f>
        <v>0.13766631021132</v>
      </c>
      <c r="AO77" s="29" t="n">
        <f aca="false">qRA*(sRA/B8)*Bfn*(1-BETADIST(AO75,1/B8,B9/B8))</f>
        <v>0.126745140556129</v>
      </c>
      <c r="AP77" s="29" t="n">
        <f aca="false">qRA*(sRA/B8)*Bfn*(1-BETADIST(AP75,1/B8,B9/B8))</f>
        <v>0.116862337784548</v>
      </c>
      <c r="AQ77" s="29" t="n">
        <f aca="false">qRA*(sRA/B8)*Bfn*(1-BETADIST(AQ75,1/B8,B9/B8))</f>
        <v>0.107933453947785</v>
      </c>
      <c r="AR77" s="29" t="n">
        <f aca="false">qRA*(sRA/B8)*Bfn*(1-BETADIST(AR75,1/B8,B9/B8))</f>
        <v>0.0998698178686398</v>
      </c>
      <c r="AS77" s="29" t="n">
        <f aca="false">qRA*(sRA/B8)*Bfn*(1-BETADIST(AS75,1/B8,B9/B8))</f>
        <v>0.0925849189892273</v>
      </c>
      <c r="AT77" s="29" t="n">
        <f aca="false">qRA*(sRA/B8)*Bfn*(1-BETADIST(AT75,1/B8,B9/B8))</f>
        <v>0.085997592016441</v>
      </c>
      <c r="AU77" s="29" t="n">
        <f aca="false">qRA*(sRA/B8)*Bfn*(1-BETADIST(AU75,1/B8,B9/B8))</f>
        <v>0.0800334318027274</v>
      </c>
      <c r="AV77" s="29" t="n">
        <f aca="false">qRA*(sRA/B8)*Bfn*(1-BETADIST(AV75,1/B8,B9/B8))</f>
        <v>0.0746252147340979</v>
      </c>
      <c r="AW77" s="29" t="n">
        <f aca="false">qRA*(sRA/B8)*Bfn*(1-BETADIST(AW75,1/B8,B9/B8))</f>
        <v>0.0697127709406011</v>
      </c>
      <c r="AX77" s="29" t="n">
        <f aca="false">qRA*(sRA/B8)*Bfn*(1-BETADIST(AX75,1/B8,B9/B8))</f>
        <v>0.0652425677006929</v>
      </c>
      <c r="AY77" s="29" t="n">
        <f aca="false">qRA*(sRA/B8)*Bfn*(1-BETADIST(AY75,1/B8,B9/B8))</f>
        <v>0.0611671574341089</v>
      </c>
      <c r="AZ77" s="29" t="n">
        <f aca="false">qRA*(sRA/B8)*Bfn*(1-BETADIST(AZ75,1/B8,B9/B8))</f>
        <v>0.0574445798058554</v>
      </c>
      <c r="BA77" s="29" t="n">
        <f aca="false">qRA*(sRA/B8)*Bfn*(1-BETADIST(BA75,1/B8,B9/B8))</f>
        <v>0.0540377688457039</v>
      </c>
      <c r="BB77" s="29" t="n">
        <f aca="false">qRA*(sRA/B8)*Bfn*(1-BETADIST(BB75,1/B8,B9/B8))</f>
        <v>0.0509139925713626</v>
      </c>
      <c r="BC77" s="29" t="n">
        <f aca="false">qRA*(sRA/B8)*Bfn*(1-BETADIST(BC75,1/B8,B9/B8))</f>
        <v>0.0480443384839393</v>
      </c>
      <c r="BD77" s="29" t="n">
        <f aca="false">qRA*(sRA/B8)*Bfn*(1-BETADIST(BD75,1/B8,B9/B8))</f>
        <v>0.0454032499161775</v>
      </c>
      <c r="BE77" s="29" t="n">
        <f aca="false">qRA*(sRA/B8)*Bfn*(1-BETADIST(BE75,1/B8,B9/B8))</f>
        <v>0.0429681133671775</v>
      </c>
      <c r="BF77" s="29" t="n">
        <f aca="false">qRA*(sRA/B8)*Bfn*(1-BETADIST(BF75,1/B8,B9/B8))</f>
        <v>0.04071889429203</v>
      </c>
      <c r="BG77" s="29" t="n">
        <f aca="false">qRA*(sRA/B8)*Bfn*(1-BETADIST(BG75,1/B8,B9/B8))</f>
        <v>0.038637817481492</v>
      </c>
      <c r="BH77" s="29" t="n">
        <f aca="false">qRA*(sRA/B8)*Bfn*(1-BETADIST(BH75,1/B8,B9/B8))</f>
        <v>0.0367090876337204</v>
      </c>
      <c r="BI77" s="29" t="n">
        <f aca="false">qRA*(sRA/B8)*Bfn*(1-BETADIST(BI75,1/B8,B9/B8))</f>
        <v>0.0349186456546564</v>
      </c>
      <c r="BJ77" s="29" t="n">
        <f aca="false">qRA*(sRA/B8)*Bfn*(1-BETADIST(BJ75,1/B8,B9/B8))</f>
        <v>0.0332539564191288</v>
      </c>
      <c r="BK77" s="29" t="n">
        <f aca="false">qRA*(sRA/B8)*Bfn*(1-BETADIST(BK75,1/B8,B9/B8))</f>
        <v>0.03170382405376</v>
      </c>
      <c r="BL77" s="29" t="n">
        <f aca="false">qRA*(sRA/B8)*Bfn*(1-BETADIST(BL75,1/B8,B9/B8))</f>
        <v>0.0302582311881751</v>
      </c>
      <c r="BM77" s="29" t="n">
        <f aca="false">qRA*(sRA/B8)*Bfn*(1-BETADIST(BM75,1/B8,B9/B8))</f>
        <v>0.0289081990173176</v>
      </c>
      <c r="BN77" s="29" t="n">
        <f aca="false">qRA*(sRA/B8)*Bfn*(1-BETADIST(BN75,1/B8,B9/B8))</f>
        <v>0.0276456653991625</v>
      </c>
      <c r="BO77" s="29" t="n">
        <f aca="false">qRA*(sRA/B8)*Bfn*(1-BETADIST(BO75,1/B8,B9/B8))</f>
        <v>0.0264633785653976</v>
      </c>
    </row>
    <row r="78" customFormat="false" ht="15" hidden="false" customHeight="false" outlineLevel="0" collapsed="false">
      <c r="A78" s="3" t="s">
        <v>162</v>
      </c>
      <c r="D78" s="10" t="s">
        <v>163</v>
      </c>
      <c r="E78" s="11" t="s">
        <v>164</v>
      </c>
      <c r="G78" s="29" t="n">
        <f aca="false">IF(ABS(G70)&gt;=1,0,qLA/(1-G1A_)*((sLA/B8)*Bfn*(1-BETADIST(G76,1/B8,B9/B8))-I1A_-G1A_*(1-ABS(G70))))</f>
        <v>0</v>
      </c>
      <c r="H78" s="29" t="n">
        <f aca="false">IF(ABS(H70)&gt;=1,0,qLA/(1-G1A_)*((sLA/B8)*Bfn*(1-BETADIST(H76,1/B8,B9/B8))-I1A_-G1A_*(1-ABS(H70))))</f>
        <v>6.7870964223729E-005</v>
      </c>
      <c r="I78" s="29" t="n">
        <f aca="false">IF(ABS(I70)&gt;=1,0,qLA/(1-G1A_)*((sLA/B8)*Bfn*(1-BETADIST(I76,1/B8,B9/B8))-I1A_-G1A_*(1-ABS(I70))))</f>
        <v>0.000278871788616698</v>
      </c>
      <c r="J78" s="29" t="n">
        <f aca="false">IF(ABS(J70)&gt;=1,0,qLA/(1-G1A_)*((sLA/B8)*Bfn*(1-BETADIST(J76,1/B8,B9/B8))-I1A_-G1A_*(1-ABS(J70))))</f>
        <v>0.000644914966617831</v>
      </c>
      <c r="K78" s="29" t="n">
        <f aca="false">IF(ABS(K70)&gt;=1,0,qLA/(1-G1A_)*((sLA/B8)*Bfn*(1-BETADIST(K76,1/B8,B9/B8))-I1A_-G1A_*(1-ABS(K70))))</f>
        <v>0.00117912279824898</v>
      </c>
      <c r="L78" s="29" t="n">
        <f aca="false">IF(ABS(L70)&gt;=1,0,qLA/(1-G1A_)*((sLA/B8)*Bfn*(1-BETADIST(L76,1/B8,B9/B8))-I1A_-G1A_*(1-ABS(L70))))</f>
        <v>0.00189596875186235</v>
      </c>
      <c r="M78" s="29" t="n">
        <f aca="false">IF(ABS(M70)&gt;=1,0,qLA/(1-G1A_)*((sLA/B8)*Bfn*(1-BETADIST(M76,1/B8,B9/B8))-I1A_-G1A_*(1-ABS(M70))))</f>
        <v>0.00281143667213629</v>
      </c>
      <c r="N78" s="29" t="n">
        <f aca="false">IF(ABS(N70)&gt;=1,0,qLA/(1-G1A_)*((sLA/B8)*Bfn*(1-BETADIST(N76,1/B8,B9/B8))-I1A_-G1A_*(1-ABS(N70))))</f>
        <v>0.00394320001763738</v>
      </c>
      <c r="O78" s="29" t="n">
        <f aca="false">IF(ABS(O70)&gt;=1,0,qLA/(1-G1A_)*((sLA/B8)*Bfn*(1-BETADIST(O76,1/B8,B9/B8))-I1A_-G1A_*(1-ABS(O70))))</f>
        <v>0.00531082348194683</v>
      </c>
      <c r="P78" s="29" t="n">
        <f aca="false">IF(ABS(P70)&gt;=1,0,qLA/(1-G1A_)*((sLA/B8)*Bfn*(1-BETADIST(P76,1/B8,B9/B8))-I1A_-G1A_*(1-ABS(P70))))</f>
        <v>0.00693598948160342</v>
      </c>
      <c r="Q78" s="29" t="n">
        <f aca="false">IF(ABS(Q70)&gt;=1,0,qLA/(1-G1A_)*((sLA/B8)*Bfn*(1-BETADIST(Q76,1/B8,B9/B8))-I1A_-G1A_*(1-ABS(Q70))))</f>
        <v>0.00884275204587197</v>
      </c>
      <c r="R78" s="29" t="n">
        <f aca="false">IF(ABS(R70)&gt;=1,0,qLA/(1-G1A_)*((sLA/B8)*Bfn*(1-BETADIST(R76,1/B8,B9/B8))-I1A_-G1A_*(1-ABS(R70))))</f>
        <v>0.011057820562572</v>
      </c>
      <c r="S78" s="29" t="n">
        <f aca="false">IF(ABS(S70)&gt;=1,0,qLA/(1-G1A_)*((sLA/B8)*Bfn*(1-BETADIST(S76,1/B8,B9/B8))-I1A_-G1A_*(1-ABS(S70))))</f>
        <v>0.0136108755379461</v>
      </c>
      <c r="T78" s="29" t="n">
        <f aca="false">IF(ABS(T70)&gt;=1,0,qLA/(1-G1A_)*((sLA/B8)*Bfn*(1-BETADIST(T76,1/B8,B9/B8))-I1A_-G1A_*(1-ABS(T70))))</f>
        <v>0.016534917892357</v>
      </c>
      <c r="U78" s="29" t="n">
        <f aca="false">IF(ABS(U70)&gt;=1,0,qLA/(1-G1A_)*((sLA/B8)*Bfn*(1-BETADIST(U76,1/B8,B9/B8))-I1A_-G1A_*(1-ABS(U70))))</f>
        <v>0.0198666521516356</v>
      </c>
      <c r="V78" s="29" t="n">
        <f aca="false">IF(ABS(V70)&gt;=1,0,qLA/(1-G1A_)*((sLA/B8)*Bfn*(1-BETADIST(V76,1/B8,B9/B8))-I1A_-G1A_*(1-ABS(V70))))</f>
        <v>0.023646901928769</v>
      </c>
      <c r="W78" s="29" t="n">
        <f aca="false">IF(ABS(W70)&gt;=1,0,qLA/(1-G1A_)*((sLA/B8)*Bfn*(1-BETADIST(W76,1/B8,B9/B8))-I1A_-G1A_*(1-ABS(W70))))</f>
        <v>0.0279210529079484</v>
      </c>
      <c r="X78" s="29" t="n">
        <f aca="false">IF(ABS(X70)&gt;=1,0,qLA/(1-G1A_)*((sLA/B8)*Bfn*(1-BETADIST(X76,1/B8,B9/B8))-I1A_-G1A_*(1-ABS(X70))))</f>
        <v>0.0327395135218149</v>
      </c>
      <c r="Y78" s="29" t="n">
        <f aca="false">IF(ABS(Y70)&gt;=1,0,qLA/(1-G1A_)*((sLA/B8)*Bfn*(1-BETADIST(Y76,1/B8,B9/B8))-I1A_-G1A_*(1-ABS(Y70))))</f>
        <v>0.0381581757168178</v>
      </c>
      <c r="Z78" s="29" t="n">
        <f aca="false">IF(ABS(Z70)&gt;=1,0,qLA/(1-G1A_)*((sLA/B8)*Bfn*(1-BETADIST(Z76,1/B8,B9/B8))-I1A_-G1A_*(1-ABS(Z70))))</f>
        <v>0.0442388462066842</v>
      </c>
      <c r="AA78" s="29" t="n">
        <f aca="false">IF(ABS(AA70)&gt;=1,0,qLA/(1-G1A_)*((sLA/B8)*Bfn*(1-BETADIST(AA76,1/B8,B9/B8))-I1A_-G1A_*(1-ABS(AA70))))</f>
        <v>0.0510496002236502</v>
      </c>
      <c r="AB78" s="29" t="n">
        <f aca="false">IF(ABS(AB70)&gt;=1,0,qLA/(1-G1A_)*((sLA/B8)*Bfn*(1-BETADIST(AB76,1/B8,B9/B8))-I1A_-G1A_*(1-ABS(AB70))))</f>
        <v>0.0586649815366425</v>
      </c>
      <c r="AC78" s="29" t="n">
        <f aca="false">IF(ABS(AC70)&gt;=1,0,qLA/(1-G1A_)*((sLA/B8)*Bfn*(1-BETADIST(AC76,1/B8,B9/B8))-I1A_-G1A_*(1-ABS(AC70))))</f>
        <v>0.0671659288223877</v>
      </c>
      <c r="AD78" s="29" t="n">
        <f aca="false">IF(ABS(AD70)&gt;=1,0,qLA/(1-G1A_)*((sLA/B8)*Bfn*(1-BETADIST(AD76,1/B8,B9/B8))-I1A_-G1A_*(1-ABS(AD70))))</f>
        <v>0.0766392399102358</v>
      </c>
      <c r="AE78" s="29" t="n">
        <f aca="false">IF(ABS(AE70)&gt;=1,0,qLA/(1-G1A_)*((sLA/B8)*Bfn*(1-BETADIST(AE76,1/B8,B9/B8))-I1A_-G1A_*(1-ABS(AE70))))</f>
        <v>0.0871762750584715</v>
      </c>
      <c r="AF78" s="29" t="n">
        <f aca="false">IF(ABS(AF70)&gt;=1,0,qLA/(1-G1A_)*((sLA/B8)*Bfn*(1-BETADIST(AF76,1/B8,B9/B8))-I1A_-G1A_*(1-ABS(AF70))))</f>
        <v>0.0988704152728634</v>
      </c>
      <c r="AG78" s="29" t="n">
        <f aca="false">IF(ABS(AG70)&gt;=1,0,qLA/(1-G1A_)*((sLA/B8)*Bfn*(1-BETADIST(AG76,1/B8,B9/B8))-I1A_-G1A_*(1-ABS(AG70))))</f>
        <v>0.11181245952013</v>
      </c>
      <c r="AH78" s="29" t="n">
        <f aca="false">IF(ABS(AH70)&gt;=1,0,qLA/(1-G1A_)*((sLA/B8)*Bfn*(1-BETADIST(AH76,1/B8,B9/B8))-I1A_-G1A_*(1-ABS(AH70))))</f>
        <v>0.126082480725988</v>
      </c>
      <c r="AI78" s="29" t="n">
        <f aca="false">IF(ABS(AI70)&gt;=1,0,qLA/(1-G1A_)*((sLA/B8)*Bfn*(1-BETADIST(AI76,1/B8,B9/B8))-I1A_-G1A_*(1-ABS(AI70))))</f>
        <v>0.141735080112852</v>
      </c>
      <c r="AJ78" s="29" t="n">
        <f aca="false">IF(ABS(AJ70)&gt;=1,0,qLA/(1-G1A_)*((sLA/B8)*Bfn*(1-BETADIST(AJ76,1/B8,B9/B8))-I1A_-G1A_*(1-ABS(AJ70))))</f>
        <v>0.158769935047315</v>
      </c>
      <c r="AK78" s="29" t="n">
        <f aca="false">IF(ABS(AK70)&gt;=1,0,qLA/(1-G1A_)*((sLA/B8)*Bfn*(1-BETADIST(AK76,1/B8,B9/B8))-I1A_-G1A_*(1-ABS(AK70))))</f>
        <v>0.177048014113191</v>
      </c>
      <c r="AL78" s="29" t="n">
        <f aca="false">IF(ABS(AL70)&gt;=1,0,qLA/(1-G1A_)*((sLA/B8)*Bfn*(1-BETADIST(AL76,1/B8,B9/B8))-I1A_-G1A_*(1-ABS(AL70))))</f>
        <v>0.158769935047315</v>
      </c>
      <c r="AM78" s="29" t="n">
        <f aca="false">IF(ABS(AM70)&gt;=1,0,qLA/(1-G1A_)*((sLA/B8)*Bfn*(1-BETADIST(AM76,1/B8,B9/B8))-I1A_-G1A_*(1-ABS(AM70))))</f>
        <v>0.141735080112852</v>
      </c>
      <c r="AN78" s="29" t="n">
        <f aca="false">IF(ABS(AN70)&gt;=1,0,qLA/(1-G1A_)*((sLA/B8)*Bfn*(1-BETADIST(AN76,1/B8,B9/B8))-I1A_-G1A_*(1-ABS(AN70))))</f>
        <v>0.126082480725988</v>
      </c>
      <c r="AO78" s="29" t="n">
        <f aca="false">IF(ABS(AO70)&gt;=1,0,qLA/(1-G1A_)*((sLA/B8)*Bfn*(1-BETADIST(AO76,1/B8,B9/B8))-I1A_-G1A_*(1-ABS(AO70))))</f>
        <v>0.11181245952013</v>
      </c>
      <c r="AP78" s="29" t="n">
        <f aca="false">IF(ABS(AP70)&gt;=1,0,qLA/(1-G1A_)*((sLA/B8)*Bfn*(1-BETADIST(AP76,1/B8,B9/B8))-I1A_-G1A_*(1-ABS(AP70))))</f>
        <v>0.0988704152728635</v>
      </c>
      <c r="AQ78" s="29" t="n">
        <f aca="false">IF(ABS(AQ70)&gt;=1,0,qLA/(1-G1A_)*((sLA/B8)*Bfn*(1-BETADIST(AQ76,1/B8,B9/B8))-I1A_-G1A_*(1-ABS(AQ70))))</f>
        <v>0.0871762750584715</v>
      </c>
      <c r="AR78" s="29" t="n">
        <f aca="false">IF(ABS(AR70)&gt;=1,0,qLA/(1-G1A_)*((sLA/B8)*Bfn*(1-BETADIST(AR76,1/B8,B9/B8))-I1A_-G1A_*(1-ABS(AR70))))</f>
        <v>0.0766392399102358</v>
      </c>
      <c r="AS78" s="29" t="n">
        <f aca="false">IF(ABS(AS70)&gt;=1,0,qLA/(1-G1A_)*((sLA/B8)*Bfn*(1-BETADIST(AS76,1/B8,B9/B8))-I1A_-G1A_*(1-ABS(AS70))))</f>
        <v>0.0671659288223877</v>
      </c>
      <c r="AT78" s="29" t="n">
        <f aca="false">IF(ABS(AT70)&gt;=1,0,qLA/(1-G1A_)*((sLA/B8)*Bfn*(1-BETADIST(AT76,1/B8,B9/B8))-I1A_-G1A_*(1-ABS(AT70))))</f>
        <v>0.0586649815366425</v>
      </c>
      <c r="AU78" s="29" t="n">
        <f aca="false">IF(ABS(AU70)&gt;=1,0,qLA/(1-G1A_)*((sLA/B8)*Bfn*(1-BETADIST(AU76,1/B8,B9/B8))-I1A_-G1A_*(1-ABS(AU70))))</f>
        <v>0.0510496002236501</v>
      </c>
      <c r="AV78" s="29" t="n">
        <f aca="false">IF(ABS(AV70)&gt;=1,0,qLA/(1-G1A_)*((sLA/B8)*Bfn*(1-BETADIST(AV76,1/B8,B9/B8))-I1A_-G1A_*(1-ABS(AV70))))</f>
        <v>0.0442388462066842</v>
      </c>
      <c r="AW78" s="29" t="n">
        <f aca="false">IF(ABS(AW70)&gt;=1,0,qLA/(1-G1A_)*((sLA/B8)*Bfn*(1-BETADIST(AW76,1/B8,B9/B8))-I1A_-G1A_*(1-ABS(AW70))))</f>
        <v>0.0381581757168178</v>
      </c>
      <c r="AX78" s="29" t="n">
        <f aca="false">IF(ABS(AX70)&gt;=1,0,qLA/(1-G1A_)*((sLA/B8)*Bfn*(1-BETADIST(AX76,1/B8,B9/B8))-I1A_-G1A_*(1-ABS(AX70))))</f>
        <v>0.0327395135218149</v>
      </c>
      <c r="AY78" s="29" t="n">
        <f aca="false">IF(ABS(AY70)&gt;=1,0,qLA/(1-G1A_)*((sLA/B8)*Bfn*(1-BETADIST(AY76,1/B8,B9/B8))-I1A_-G1A_*(1-ABS(AY70))))</f>
        <v>0.0279210529079485</v>
      </c>
      <c r="AZ78" s="29" t="n">
        <f aca="false">IF(ABS(AZ70)&gt;=1,0,qLA/(1-G1A_)*((sLA/B8)*Bfn*(1-BETADIST(AZ76,1/B8,B9/B8))-I1A_-G1A_*(1-ABS(AZ70))))</f>
        <v>0.023646901928769</v>
      </c>
      <c r="BA78" s="29" t="n">
        <f aca="false">IF(ABS(BA70)&gt;=1,0,qLA/(1-G1A_)*((sLA/B8)*Bfn*(1-BETADIST(BA76,1/B8,B9/B8))-I1A_-G1A_*(1-ABS(BA70))))</f>
        <v>0.0198666521516356</v>
      </c>
      <c r="BB78" s="29" t="n">
        <f aca="false">IF(ABS(BB70)&gt;=1,0,qLA/(1-G1A_)*((sLA/B8)*Bfn*(1-BETADIST(BB76,1/B8,B9/B8))-I1A_-G1A_*(1-ABS(BB70))))</f>
        <v>0.016534917892357</v>
      </c>
      <c r="BC78" s="29" t="n">
        <f aca="false">IF(ABS(BC70)&gt;=1,0,qLA/(1-G1A_)*((sLA/B8)*Bfn*(1-BETADIST(BC76,1/B8,B9/B8))-I1A_-G1A_*(1-ABS(BC70))))</f>
        <v>0.0136108755379461</v>
      </c>
      <c r="BD78" s="29" t="n">
        <f aca="false">IF(ABS(BD70)&gt;=1,0,qLA/(1-G1A_)*((sLA/B8)*Bfn*(1-BETADIST(BD76,1/B8,B9/B8))-I1A_-G1A_*(1-ABS(BD70))))</f>
        <v>0.011057820562572</v>
      </c>
      <c r="BE78" s="29" t="n">
        <f aca="false">IF(ABS(BE70)&gt;=1,0,qLA/(1-G1A_)*((sLA/B8)*Bfn*(1-BETADIST(BE76,1/B8,B9/B8))-I1A_-G1A_*(1-ABS(BE70))))</f>
        <v>0.00884275204587197</v>
      </c>
      <c r="BF78" s="29" t="n">
        <f aca="false">IF(ABS(BF70)&gt;=1,0,qLA/(1-G1A_)*((sLA/B8)*Bfn*(1-BETADIST(BF76,1/B8,B9/B8))-I1A_-G1A_*(1-ABS(BF70))))</f>
        <v>0.00693598948160342</v>
      </c>
      <c r="BG78" s="29" t="n">
        <f aca="false">IF(ABS(BG70)&gt;=1,0,qLA/(1-G1A_)*((sLA/B8)*Bfn*(1-BETADIST(BG76,1/B8,B9/B8))-I1A_-G1A_*(1-ABS(BG70))))</f>
        <v>0.00531082348194683</v>
      </c>
      <c r="BH78" s="29" t="n">
        <f aca="false">IF(ABS(BH70)&gt;=1,0,qLA/(1-G1A_)*((sLA/B8)*Bfn*(1-BETADIST(BH76,1/B8,B9/B8))-I1A_-G1A_*(1-ABS(BH70))))</f>
        <v>0.00394320001763738</v>
      </c>
      <c r="BI78" s="29" t="n">
        <f aca="false">IF(ABS(BI70)&gt;=1,0,qLA/(1-G1A_)*((sLA/B8)*Bfn*(1-BETADIST(BI76,1/B8,B9/B8))-I1A_-G1A_*(1-ABS(BI70))))</f>
        <v>0.00281143667213629</v>
      </c>
      <c r="BJ78" s="29" t="n">
        <f aca="false">IF(ABS(BJ70)&gt;=1,0,qLA/(1-G1A_)*((sLA/B8)*Bfn*(1-BETADIST(BJ76,1/B8,B9/B8))-I1A_-G1A_*(1-ABS(BJ70))))</f>
        <v>0.00189596875186235</v>
      </c>
      <c r="BK78" s="29" t="n">
        <f aca="false">IF(ABS(BK70)&gt;=1,0,qLA/(1-G1A_)*((sLA/B8)*Bfn*(1-BETADIST(BK76,1/B8,B9/B8))-I1A_-G1A_*(1-ABS(BK70))))</f>
        <v>0.00117912279824898</v>
      </c>
      <c r="BL78" s="29" t="n">
        <f aca="false">IF(ABS(BL70)&gt;=1,0,qLA/(1-G1A_)*((sLA/B8)*Bfn*(1-BETADIST(BL76,1/B8,B9/B8))-I1A_-G1A_*(1-ABS(BL70))))</f>
        <v>0.000644914966617886</v>
      </c>
      <c r="BM78" s="29" t="n">
        <f aca="false">IF(ABS(BM70)&gt;=1,0,qLA/(1-G1A_)*((sLA/B8)*Bfn*(1-BETADIST(BM76,1/B8,B9/B8))-I1A_-G1A_*(1-ABS(BM70))))</f>
        <v>0.000278871788616698</v>
      </c>
      <c r="BN78" s="29" t="n">
        <f aca="false">IF(ABS(BN70)&gt;=1,0,qLA/(1-G1A_)*((sLA/B8)*Bfn*(1-BETADIST(BN76,1/B8,B9/B8))-I1A_-G1A_*(1-ABS(BN70))))</f>
        <v>6.78709642237217E-005</v>
      </c>
      <c r="BO78" s="29" t="n">
        <f aca="false">IF(ABS(BO70)&gt;=1,0,qLA/(1-G1A_)*((sLA/B8)*Bfn*(1-BETADIST(BO76,1/B8,B9/B8))-I1A_-G1A_*(1-ABS(BO70))))</f>
        <v>0</v>
      </c>
    </row>
    <row r="79" customFormat="false" ht="15" hidden="false" customHeight="false" outlineLevel="0" collapsed="false">
      <c r="A79" s="3" t="s">
        <v>165</v>
      </c>
      <c r="D79" s="10" t="s">
        <v>166</v>
      </c>
      <c r="E79" s="11" t="s">
        <v>167</v>
      </c>
      <c r="G79" s="29" t="n">
        <f aca="false">IF(G70&gt;=0,G73,-G70+G74)</f>
        <v>1</v>
      </c>
      <c r="H79" s="29" t="n">
        <f aca="false">IF(H70&gt;=0,H73,-H70+H74)</f>
        <v>0.966730200637381</v>
      </c>
      <c r="I79" s="29" t="n">
        <f aca="false">IF(I70&gt;=0,I73,-I70+I74)</f>
        <v>0.93359466517761</v>
      </c>
      <c r="J79" s="29" t="n">
        <f aca="false">IF(J70&gt;=0,J73,-J70+J74)</f>
        <v>0.900605034788315</v>
      </c>
      <c r="K79" s="29" t="n">
        <f aca="false">IF(K70&gt;=0,K73,-K70+K74)</f>
        <v>0.867774190657395</v>
      </c>
      <c r="L79" s="29" t="n">
        <f aca="false">IF(L70&gt;=0,L73,-L70+L74)</f>
        <v>0.835116407561002</v>
      </c>
      <c r="M79" s="29" t="n">
        <f aca="false">IF(M70&gt;=0,M73,-M70+M74)</f>
        <v>0.802647528385647</v>
      </c>
      <c r="N79" s="29" t="n">
        <f aca="false">IF(N70&gt;=0,N73,-N70+N74)</f>
        <v>0.770385162517667</v>
      </c>
      <c r="O79" s="29" t="n">
        <f aca="false">IF(O70&gt;=0,O73,-O70+O74)</f>
        <v>0.738348911349171</v>
      </c>
      <c r="P79" s="29" t="n">
        <f aca="false">IF(P70&gt;=0,P73,-P70+P74)</f>
        <v>0.706560624478121</v>
      </c>
      <c r="Q79" s="29" t="n">
        <f aca="false">IF(Q70&gt;=0,Q73,-Q70+Q74)</f>
        <v>0.675044690470336</v>
      </c>
      <c r="R79" s="29" t="n">
        <f aca="false">IF(R70&gt;=0,R73,-R70+R74)</f>
        <v>0.643828366251788</v>
      </c>
      <c r="S79" s="29" t="n">
        <f aca="false">IF(S70&gt;=0,S73,-S70+S74)</f>
        <v>0.612942149229457</v>
      </c>
      <c r="T79" s="29" t="n">
        <f aca="false">IF(T70&gt;=0,T73,-T70+T74)</f>
        <v>0.58242019597039</v>
      </c>
      <c r="U79" s="29" t="n">
        <f aca="false">IF(U70&gt;=0,U73,-U70+U74)</f>
        <v>0.552300790503509</v>
      </c>
      <c r="V79" s="29" t="n">
        <f aca="false">IF(V70&gt;=0,V73,-V70+V74)</f>
        <v>0.522626863740882</v>
      </c>
      <c r="W79" s="29" t="n">
        <f aca="false">IF(W70&gt;=0,W73,-W70+W74)</f>
        <v>0.493446562673152</v>
      </c>
      <c r="X79" s="29" t="n">
        <f aca="false">IF(X70&gt;=0,X73,-X70+X74)</f>
        <v>0.464813863151395</v>
      </c>
      <c r="Y79" s="29" t="n">
        <f aca="false">IF(Y70&gt;=0,Y73,-Y70+Y74)</f>
        <v>0.436789212102879</v>
      </c>
      <c r="Z79" s="29" t="n">
        <f aca="false">IF(Z70&gt;=0,Z73,-Z70+Z74)</f>
        <v>0.409440172197186</v>
      </c>
      <c r="AA79" s="29" t="n">
        <f aca="false">IF(AA70&gt;=0,AA73,-AA70+AA74)</f>
        <v>0.382842021545084</v>
      </c>
      <c r="AB79" s="29" t="n">
        <f aca="false">IF(AB70&gt;=0,AB73,-AB70+AB74)</f>
        <v>0.357078228612915</v>
      </c>
      <c r="AC79" s="29" t="n">
        <f aca="false">IF(AC70&gt;=0,AC73,-AC70+AC74)</f>
        <v>0.332240671056124</v>
      </c>
      <c r="AD79" s="29" t="n">
        <f aca="false">IF(AD70&gt;=0,AD73,-AD70+AD74)</f>
        <v>0.308429384605859</v>
      </c>
      <c r="AE79" s="29" t="n">
        <f aca="false">IF(AE70&gt;=0,AE73,-AE70+AE74)</f>
        <v>0.285751493129182</v>
      </c>
      <c r="AF79" s="29" t="n">
        <f aca="false">IF(AF70&gt;=0,AF73,-AF70+AF74)</f>
        <v>0.264318742547179</v>
      </c>
      <c r="AG79" s="29" t="n">
        <f aca="false">IF(AG70&gt;=0,AG73,-AG70+AG74)</f>
        <v>0.244242651613936</v>
      </c>
      <c r="AH79" s="29" t="n">
        <f aca="false">IF(AH70&gt;=0,AH73,-AH70+AH74)</f>
        <v>0.225625481854102</v>
      </c>
      <c r="AI79" s="29" t="n">
        <f aca="false">IF(AI70&gt;=0,AI73,-AI70+AI74)</f>
        <v>0.20854333420539</v>
      </c>
      <c r="AJ79" s="29" t="n">
        <f aca="false">IF(AJ70&gt;=0,AJ73,-AJ70+AJ74)</f>
        <v>0.19301175737374</v>
      </c>
      <c r="AK79" s="29" t="n">
        <f aca="false">IF(AK70&gt;=0,AK73,-AK70+AK74)</f>
        <v>0.178887890762672</v>
      </c>
      <c r="AL79" s="29" t="n">
        <f aca="false">IF(AL70&gt;=0,AL73,-AL70+AL74)</f>
        <v>0.16562566389023</v>
      </c>
      <c r="AM79" s="29" t="n">
        <f aca="false">IF(AM70&gt;=0,AM73,-AM70+AM74)</f>
        <v>0.153244183829302</v>
      </c>
      <c r="AN79" s="29" t="n">
        <f aca="false">IF(AN70&gt;=0,AN73,-AN70+AN74)</f>
        <v>0.141832832790596</v>
      </c>
      <c r="AO79" s="29" t="n">
        <f aca="false">IF(AO70&gt;=0,AO73,-AO70+AO74)</f>
        <v>0.131381882581938</v>
      </c>
      <c r="AP79" s="29" t="n">
        <f aca="false">IF(AP70&gt;=0,AP73,-AP70+AP74)</f>
        <v>0.121843719945369</v>
      </c>
      <c r="AQ79" s="29" t="n">
        <f aca="false">IF(AQ70&gt;=0,AQ73,-AQ70+AQ74)</f>
        <v>0.113154364008926</v>
      </c>
      <c r="AR79" s="29" t="n">
        <f aca="false">IF(AR70&gt;=0,AR73,-AR70+AR74)</f>
        <v>0.105244042029132</v>
      </c>
      <c r="AS79" s="29" t="n">
        <f aca="false">IF(AS70&gt;=0,AS73,-AS70+AS74)</f>
        <v>0.0980428391333682</v>
      </c>
      <c r="AT79" s="29" t="n">
        <f aca="false">IF(AT70&gt;=0,AT73,-AT70+AT74)</f>
        <v>0.0914837322800127</v>
      </c>
      <c r="AU79" s="29" t="n">
        <f aca="false">IF(AU70&gt;=0,AU73,-AU70+AU74)</f>
        <v>0.0855041331854622</v>
      </c>
      <c r="AV79" s="29" t="n">
        <f aca="false">IF(AV70&gt;=0,AV73,-AV70+AV74)</f>
        <v>0.08004655774189</v>
      </c>
      <c r="AW79" s="29" t="n">
        <f aca="false">IF(AW70&gt;=0,AW73,-AW70+AW74)</f>
        <v>0.0750587831286747</v>
      </c>
      <c r="AX79" s="29" t="n">
        <f aca="false">IF(AX70&gt;=0,AX73,-AX70+AX74)</f>
        <v>0.0704937108971753</v>
      </c>
      <c r="AY79" s="29" t="n">
        <f aca="false">IF(AY70&gt;=0,AY73,-AY70+AY74)</f>
        <v>0.0663090698361309</v>
      </c>
      <c r="AZ79" s="29" t="n">
        <f aca="false">IF(AZ70&gt;=0,AZ73,-AZ70+AZ74)</f>
        <v>0.0624670407645022</v>
      </c>
      <c r="BA79" s="29" t="n">
        <f aca="false">IF(BA70&gt;=0,BA73,-BA70+BA74)</f>
        <v>0.0589338531901237</v>
      </c>
      <c r="BB79" s="29" t="n">
        <f aca="false">IF(BB70&gt;=0,BB73,-BB70+BB74)</f>
        <v>0.0556793835014582</v>
      </c>
      <c r="BC79" s="29" t="n">
        <f aca="false">IF(BC70&gt;=0,BC73,-BC70+BC74)</f>
        <v>0.0526767715749367</v>
      </c>
      <c r="BD79" s="29" t="n">
        <f aca="false">IF(BD70&gt;=0,BD73,-BD70+BD74)</f>
        <v>0.0499020646525576</v>
      </c>
      <c r="BE79" s="29" t="n">
        <f aca="false">IF(BE70&gt;=0,BE73,-BE70+BE74)</f>
        <v>0.047333892361149</v>
      </c>
      <c r="BF79" s="29" t="n">
        <f aca="false">IF(BF70&gt;=0,BF73,-BF70+BF74)</f>
        <v>0.0449531737149938</v>
      </c>
      <c r="BG79" s="29" t="n">
        <f aca="false">IF(BG70&gt;=0,BG73,-BG70+BG74)</f>
        <v>0.04274285516539</v>
      </c>
      <c r="BH79" s="29" t="n">
        <f aca="false">IF(BH70&gt;=0,BH73,-BH70+BH74)</f>
        <v>0.0406876777797898</v>
      </c>
      <c r="BI79" s="29" t="n">
        <f aca="false">IF(BI70&gt;=0,BI73,-BI70+BI74)</f>
        <v>0.0387739711544454</v>
      </c>
      <c r="BJ79" s="29" t="n">
        <f aca="false">IF(BJ70&gt;=0,BJ73,-BJ70+BJ74)</f>
        <v>0.0369894714964675</v>
      </c>
      <c r="BK79" s="29" t="n">
        <f aca="false">IF(BK70&gt;=0,BK73,-BK70+BK74)</f>
        <v>0.035323161329865</v>
      </c>
      <c r="BL79" s="29" t="n">
        <f aca="false">IF(BL70&gt;=0,BL73,-BL70+BL74)</f>
        <v>0.033765128405659</v>
      </c>
      <c r="BM79" s="29" t="n">
        <f aca="false">IF(BM70&gt;=0,BM73,-BM70+BM74)</f>
        <v>0.0323064415776669</v>
      </c>
      <c r="BN79" s="29" t="n">
        <f aca="false">IF(BN70&gt;=0,BN73,-BN70+BN74)</f>
        <v>0.0309390416111338</v>
      </c>
      <c r="BO79" s="29" t="n">
        <f aca="false">IF(BO70&gt;=0,BO73,-BO70+BO74)</f>
        <v>0.0296556451014927</v>
      </c>
    </row>
    <row r="80" customFormat="false" ht="15" hidden="false" customHeight="false" outlineLevel="0" collapsed="false">
      <c r="A80" s="3" t="s">
        <v>168</v>
      </c>
      <c r="D80" s="10" t="s">
        <v>169</v>
      </c>
      <c r="E80" s="11" t="s">
        <v>170</v>
      </c>
      <c r="G80" s="29" t="n">
        <f aca="false">IF(G70&lt;=0,G74,G70+G73)</f>
        <v>0</v>
      </c>
      <c r="H80" s="29" t="n">
        <f aca="false">IF(H70&lt;=0,H74,H70+H73)</f>
        <v>6.35339707145027E-005</v>
      </c>
      <c r="I80" s="29" t="n">
        <f aca="false">IF(I70&lt;=0,I74,I70+I73)</f>
        <v>0.000261331844276345</v>
      </c>
      <c r="J80" s="29" t="n">
        <f aca="false">IF(J70&lt;=0,J74,J70+J73)</f>
        <v>0.000605034788315337</v>
      </c>
      <c r="K80" s="29" t="n">
        <f aca="false">IF(K70&lt;=0,K74,K70+K73)</f>
        <v>0.0011075239907279</v>
      </c>
      <c r="L80" s="29" t="n">
        <f aca="false">IF(L70&lt;=0,L74,L70+L73)</f>
        <v>0.00178307422766886</v>
      </c>
      <c r="M80" s="29" t="n">
        <f aca="false">IF(M70&lt;=0,M74,M70+M73)</f>
        <v>0.00264752838564718</v>
      </c>
      <c r="N80" s="29" t="n">
        <f aca="false">IF(N70&lt;=0,N74,N70+N73)</f>
        <v>0.00371849585100026</v>
      </c>
      <c r="O80" s="29" t="n">
        <f aca="false">IF(O70&lt;=0,O74,O70+O73)</f>
        <v>0.00501557801583709</v>
      </c>
      <c r="P80" s="29" t="n">
        <f aca="false">IF(P70&lt;=0,P74,P70+P73)</f>
        <v>0.00656062447812144</v>
      </c>
      <c r="Q80" s="29" t="n">
        <f aca="false">IF(Q70&lt;=0,Q74,Q70+Q73)</f>
        <v>0.00837802380366885</v>
      </c>
      <c r="R80" s="29" t="n">
        <f aca="false">IF(R70&lt;=0,R74,R70+R73)</f>
        <v>0.0104950329184542</v>
      </c>
      <c r="S80" s="29" t="n">
        <f aca="false">IF(S70&lt;=0,S74,S70+S73)</f>
        <v>0.0129421492294575</v>
      </c>
      <c r="T80" s="29" t="n">
        <f aca="false">IF(T70&lt;=0,T74,T70+T73)</f>
        <v>0.0157535293037237</v>
      </c>
      <c r="U80" s="29" t="n">
        <f aca="false">IF(U70&lt;=0,U74,U70+U73)</f>
        <v>0.0189674571701757</v>
      </c>
      <c r="V80" s="29" t="n">
        <f aca="false">IF(V70&lt;=0,V74,V70+V73)</f>
        <v>0.0226268637408821</v>
      </c>
      <c r="W80" s="29" t="n">
        <f aca="false">IF(W70&lt;=0,W74,W70+W73)</f>
        <v>0.026779896006485</v>
      </c>
      <c r="X80" s="29" t="n">
        <f aca="false">IF(X70&lt;=0,X74,X70+X73)</f>
        <v>0.0314805298180619</v>
      </c>
      <c r="Y80" s="29" t="n">
        <f aca="false">IF(Y70&lt;=0,Y74,Y70+Y73)</f>
        <v>0.0367892121028785</v>
      </c>
      <c r="Z80" s="29" t="n">
        <f aca="false">IF(Z70&lt;=0,Z74,Z70+Z73)</f>
        <v>0.0427735055305197</v>
      </c>
      <c r="AA80" s="29" t="n">
        <f aca="false">IF(AA70&lt;=0,AA74,AA70+AA73)</f>
        <v>0.0495086882117508</v>
      </c>
      <c r="AB80" s="29" t="n">
        <f aca="false">IF(AB70&lt;=0,AB74,AB70+AB73)</f>
        <v>0.0570782286129151</v>
      </c>
      <c r="AC80" s="29" t="n">
        <f aca="false">IF(AC70&lt;=0,AC74,AC70+AC73)</f>
        <v>0.0655740043894577</v>
      </c>
      <c r="AD80" s="29" t="n">
        <f aca="false">IF(AD70&lt;=0,AD74,AD70+AD73)</f>
        <v>0.0750960512725256</v>
      </c>
      <c r="AE80" s="29" t="n">
        <f aca="false">IF(AE70&lt;=0,AE74,AE70+AE73)</f>
        <v>0.0857514931291825</v>
      </c>
      <c r="AF80" s="29" t="n">
        <f aca="false">IF(AF70&lt;=0,AF74,AF70+AF73)</f>
        <v>0.0976520758805124</v>
      </c>
      <c r="AG80" s="29" t="n">
        <f aca="false">IF(AG70&lt;=0,AG74,AG70+AG73)</f>
        <v>0.110909318280603</v>
      </c>
      <c r="AH80" s="29" t="n">
        <f aca="false">IF(AH70&lt;=0,AH74,AH70+AH73)</f>
        <v>0.125625481854102</v>
      </c>
      <c r="AI80" s="29" t="n">
        <f aca="false">IF(AI70&lt;=0,AI74,AI70+AI73)</f>
        <v>0.141876667538724</v>
      </c>
      <c r="AJ80" s="29" t="n">
        <f aca="false">IF(AJ70&lt;=0,AJ74,AJ70+AJ73)</f>
        <v>0.159678424040407</v>
      </c>
      <c r="AK80" s="29" t="n">
        <f aca="false">IF(AK70&lt;=0,AK74,AK70+AK73)</f>
        <v>0.178887890518671</v>
      </c>
      <c r="AL80" s="29" t="n">
        <f aca="false">IF(AL70&lt;=0,AL74,AL70+AL73)</f>
        <v>0.198958997223563</v>
      </c>
      <c r="AM80" s="29" t="n">
        <f aca="false">IF(AM70&lt;=0,AM74,AM70+AM73)</f>
        <v>0.219910850495968</v>
      </c>
      <c r="AN80" s="29" t="n">
        <f aca="false">IF(AN70&lt;=0,AN74,AN70+AN73)</f>
        <v>0.241832832790596</v>
      </c>
      <c r="AO80" s="29" t="n">
        <f aca="false">IF(AO70&lt;=0,AO74,AO70+AO73)</f>
        <v>0.264715215915271</v>
      </c>
      <c r="AP80" s="29" t="n">
        <f aca="false">IF(AP70&lt;=0,AP74,AP70+AP73)</f>
        <v>0.288510386612036</v>
      </c>
      <c r="AQ80" s="29" t="n">
        <f aca="false">IF(AQ70&lt;=0,AQ74,AQ70+AQ73)</f>
        <v>0.313154364008926</v>
      </c>
      <c r="AR80" s="29" t="n">
        <f aca="false">IF(AR70&lt;=0,AR74,AR70+AR73)</f>
        <v>0.338577375362465</v>
      </c>
      <c r="AS80" s="29" t="n">
        <f aca="false">IF(AS70&lt;=0,AS74,AS70+AS73)</f>
        <v>0.364709505800035</v>
      </c>
      <c r="AT80" s="29" t="n">
        <f aca="false">IF(AT70&lt;=0,AT74,AT70+AT73)</f>
        <v>0.391483732280013</v>
      </c>
      <c r="AU80" s="29" t="n">
        <f aca="false">IF(AU70&lt;=0,AU74,AU70+AU73)</f>
        <v>0.418837466518795</v>
      </c>
      <c r="AV80" s="29" t="n">
        <f aca="false">IF(AV70&lt;=0,AV74,AV70+AV73)</f>
        <v>0.446713224408557</v>
      </c>
      <c r="AW80" s="29" t="n">
        <f aca="false">IF(AW70&lt;=0,AW74,AW70+AW73)</f>
        <v>0.475058783128675</v>
      </c>
      <c r="AX80" s="29" t="n">
        <f aca="false">IF(AX70&lt;=0,AX74,AX70+AX73)</f>
        <v>0.503827044230509</v>
      </c>
      <c r="AY80" s="29" t="n">
        <f aca="false">IF(AY70&lt;=0,AY74,AY70+AY73)</f>
        <v>0.532975736502798</v>
      </c>
      <c r="AZ80" s="29" t="n">
        <f aca="false">IF(AZ70&lt;=0,AZ74,AZ70+AZ73)</f>
        <v>0.562467040764502</v>
      </c>
      <c r="BA80" s="29" t="n">
        <f aca="false">IF(BA70&lt;=0,BA74,BA70+BA73)</f>
        <v>0.592267186523457</v>
      </c>
      <c r="BB80" s="29" t="n">
        <f aca="false">IF(BB70&lt;=0,BB74,BB70+BB73)</f>
        <v>0.622346050168125</v>
      </c>
      <c r="BC80" s="29" t="n">
        <f aca="false">IF(BC70&lt;=0,BC74,BC70+BC73)</f>
        <v>0.652676771574937</v>
      </c>
      <c r="BD80" s="29" t="n">
        <f aca="false">IF(BD70&lt;=0,BD74,BD70+BD73)</f>
        <v>0.683235397985891</v>
      </c>
      <c r="BE80" s="29" t="n">
        <f aca="false">IF(BE70&lt;=0,BE74,BE70+BE73)</f>
        <v>0.714000559027816</v>
      </c>
      <c r="BF80" s="29" t="n">
        <f aca="false">IF(BF70&lt;=0,BF74,BF70+BF73)</f>
        <v>0.744953173714994</v>
      </c>
      <c r="BG80" s="29" t="n">
        <f aca="false">IF(BG70&lt;=0,BG74,BG70+BG73)</f>
        <v>0.776076188498723</v>
      </c>
      <c r="BH80" s="29" t="n">
        <f aca="false">IF(BH70&lt;=0,BH74,BH70+BH73)</f>
        <v>0.807354344446456</v>
      </c>
      <c r="BI80" s="29" t="n">
        <f aca="false">IF(BI70&lt;=0,BI74,BI70+BI73)</f>
        <v>0.838773971154445</v>
      </c>
      <c r="BJ80" s="29" t="n">
        <f aca="false">IF(BJ70&lt;=0,BJ74,BJ70+BJ73)</f>
        <v>0.870322804829801</v>
      </c>
      <c r="BK80" s="29" t="n">
        <f aca="false">IF(BK70&lt;=0,BK74,BK70+BK73)</f>
        <v>0.901989827996532</v>
      </c>
      <c r="BL80" s="29" t="n">
        <f aca="false">IF(BL70&lt;=0,BL74,BL70+BL73)</f>
        <v>0.933765128405659</v>
      </c>
      <c r="BM80" s="29" t="n">
        <f aca="false">IF(BM70&lt;=0,BM74,BM70+BM73)</f>
        <v>0.965639774911</v>
      </c>
      <c r="BN80" s="29" t="n">
        <f aca="false">IF(BN70&lt;=0,BN74,BN70+BN73)</f>
        <v>0.9976057082778</v>
      </c>
      <c r="BO80" s="29" t="n">
        <f aca="false">IF(BO70&lt;=0,BO74,BO70+BO73)</f>
        <v>1.02965564510149</v>
      </c>
    </row>
    <row r="81" customFormat="false" ht="15" hidden="false" customHeight="false" outlineLevel="0" collapsed="false">
      <c r="A81" s="3" t="s">
        <v>171</v>
      </c>
      <c r="D81" s="10" t="s">
        <v>172</v>
      </c>
      <c r="E81" s="11" t="s">
        <v>173</v>
      </c>
      <c r="G81" s="29" t="n">
        <f aca="false">IF(G70&gt;=0,G77,-G70+G78)</f>
        <v>1</v>
      </c>
      <c r="H81" s="29" t="n">
        <f aca="false">IF(H70&gt;=0,H77,-H70+H78)</f>
        <v>0.966734537630891</v>
      </c>
      <c r="I81" s="29" t="n">
        <f aca="false">IF(I70&gt;=0,I77,-I70+I78)</f>
        <v>0.93361220512195</v>
      </c>
      <c r="J81" s="29" t="n">
        <f aca="false">IF(J70&gt;=0,J77,-J70+J78)</f>
        <v>0.900644914966618</v>
      </c>
      <c r="K81" s="29" t="n">
        <f aca="false">IF(K70&gt;=0,K77,-K70+K78)</f>
        <v>0.867845789464916</v>
      </c>
      <c r="L81" s="29" t="n">
        <f aca="false">IF(L70&gt;=0,L77,-L70+L78)</f>
        <v>0.835229302085196</v>
      </c>
      <c r="M81" s="29" t="n">
        <f aca="false">IF(M70&gt;=0,M77,-M70+M78)</f>
        <v>0.802811436672136</v>
      </c>
      <c r="N81" s="29" t="n">
        <f aca="false">IF(N70&gt;=0,N77,-N70+N78)</f>
        <v>0.770609866684304</v>
      </c>
      <c r="O81" s="29" t="n">
        <f aca="false">IF(O70&gt;=0,O77,-O70+O78)</f>
        <v>0.73864415681528</v>
      </c>
      <c r="P81" s="29" t="n">
        <f aca="false">IF(P70&gt;=0,P77,-P70+P78)</f>
        <v>0.706935989481603</v>
      </c>
      <c r="Q81" s="29" t="n">
        <f aca="false">IF(Q70&gt;=0,Q77,-Q70+Q78)</f>
        <v>0.675509418712539</v>
      </c>
      <c r="R81" s="29" t="n">
        <f aca="false">IF(R70&gt;=0,R77,-R70+R78)</f>
        <v>0.644391153895905</v>
      </c>
      <c r="S81" s="29" t="n">
        <f aca="false">IF(S70&gt;=0,S77,-S70+S78)</f>
        <v>0.613610875537946</v>
      </c>
      <c r="T81" s="29" t="n">
        <f aca="false">IF(T70&gt;=0,T77,-T70+T78)</f>
        <v>0.583201584559024</v>
      </c>
      <c r="U81" s="29" t="n">
        <f aca="false">IF(U70&gt;=0,U77,-U70+U78)</f>
        <v>0.553199985484969</v>
      </c>
      <c r="V81" s="29" t="n">
        <f aca="false">IF(V70&gt;=0,V77,-V70+V78)</f>
        <v>0.523646901928769</v>
      </c>
      <c r="W81" s="29" t="n">
        <f aca="false">IF(W70&gt;=0,W77,-W70+W78)</f>
        <v>0.494587719574615</v>
      </c>
      <c r="X81" s="29" t="n">
        <f aca="false">IF(X70&gt;=0,X77,-X70+X78)</f>
        <v>0.466072846855148</v>
      </c>
      <c r="Y81" s="29" t="n">
        <f aca="false">IF(Y70&gt;=0,Y77,-Y70+Y78)</f>
        <v>0.438158175716818</v>
      </c>
      <c r="Z81" s="29" t="n">
        <f aca="false">IF(Z70&gt;=0,Z77,-Z70+Z78)</f>
        <v>0.410905512873351</v>
      </c>
      <c r="AA81" s="29" t="n">
        <f aca="false">IF(AA70&gt;=0,AA77,-AA70+AA78)</f>
        <v>0.384382933556984</v>
      </c>
      <c r="AB81" s="29" t="n">
        <f aca="false">IF(AB70&gt;=0,AB77,-AB70+AB78)</f>
        <v>0.358664981536643</v>
      </c>
      <c r="AC81" s="29" t="n">
        <f aca="false">IF(AC70&gt;=0,AC77,-AC70+AC78)</f>
        <v>0.333832595489054</v>
      </c>
      <c r="AD81" s="29" t="n">
        <f aca="false">IF(AD70&gt;=0,AD77,-AD70+AD78)</f>
        <v>0.309972573243569</v>
      </c>
      <c r="AE81" s="29" t="n">
        <f aca="false">IF(AE70&gt;=0,AE77,-AE70+AE78)</f>
        <v>0.287176275058471</v>
      </c>
      <c r="AF81" s="29" t="n">
        <f aca="false">IF(AF70&gt;=0,AF77,-AF70+AF78)</f>
        <v>0.26553708193953</v>
      </c>
      <c r="AG81" s="29" t="n">
        <f aca="false">IF(AG70&gt;=0,AG77,-AG70+AG78)</f>
        <v>0.245145792853463</v>
      </c>
      <c r="AH81" s="29" t="n">
        <f aca="false">IF(AH70&gt;=0,AH77,-AH70+AH78)</f>
        <v>0.226082480725988</v>
      </c>
      <c r="AI81" s="29" t="n">
        <f aca="false">IF(AI70&gt;=0,AI77,-AI70+AI78)</f>
        <v>0.208401746779519</v>
      </c>
      <c r="AJ81" s="29" t="n">
        <f aca="false">IF(AJ70&gt;=0,AJ77,-AJ70+AJ78)</f>
        <v>0.192103268380648</v>
      </c>
      <c r="AK81" s="29" t="n">
        <f aca="false">IF(AK70&gt;=0,AK77,-AK70+AK78)</f>
        <v>0.177048014303763</v>
      </c>
      <c r="AL81" s="29" t="n">
        <f aca="false">IF(AL70&gt;=0,AL77,-AL70+AL78)</f>
        <v>0.16285171938452</v>
      </c>
      <c r="AM81" s="29" t="n">
        <f aca="false">IF(AM70&gt;=0,AM77,-AM70+AM78)</f>
        <v>0.14969355911744</v>
      </c>
      <c r="AN81" s="29" t="n">
        <f aca="false">IF(AN70&gt;=0,AN77,-AN70+AN78)</f>
        <v>0.13766631021132</v>
      </c>
      <c r="AO81" s="29" t="n">
        <f aca="false">IF(AO70&gt;=0,AO77,-AO70+AO78)</f>
        <v>0.126745140556129</v>
      </c>
      <c r="AP81" s="29" t="n">
        <f aca="false">IF(AP70&gt;=0,AP77,-AP70+AP78)</f>
        <v>0.116862337784548</v>
      </c>
      <c r="AQ81" s="29" t="n">
        <f aca="false">IF(AQ70&gt;=0,AQ77,-AQ70+AQ78)</f>
        <v>0.107933453947785</v>
      </c>
      <c r="AR81" s="29" t="n">
        <f aca="false">IF(AR70&gt;=0,AR77,-AR70+AR78)</f>
        <v>0.0998698178686398</v>
      </c>
      <c r="AS81" s="29" t="n">
        <f aca="false">IF(AS70&gt;=0,AS77,-AS70+AS78)</f>
        <v>0.0925849189892273</v>
      </c>
      <c r="AT81" s="29" t="n">
        <f aca="false">IF(AT70&gt;=0,AT77,-AT70+AT78)</f>
        <v>0.085997592016441</v>
      </c>
      <c r="AU81" s="29" t="n">
        <f aca="false">IF(AU70&gt;=0,AU77,-AU70+AU78)</f>
        <v>0.0800334318027274</v>
      </c>
      <c r="AV81" s="29" t="n">
        <f aca="false">IF(AV70&gt;=0,AV77,-AV70+AV78)</f>
        <v>0.0746252147340979</v>
      </c>
      <c r="AW81" s="29" t="n">
        <f aca="false">IF(AW70&gt;=0,AW77,-AW70+AW78)</f>
        <v>0.0697127709406011</v>
      </c>
      <c r="AX81" s="29" t="n">
        <f aca="false">IF(AX70&gt;=0,AX77,-AX70+AX78)</f>
        <v>0.0652425677006929</v>
      </c>
      <c r="AY81" s="29" t="n">
        <f aca="false">IF(AY70&gt;=0,AY77,-AY70+AY78)</f>
        <v>0.0611671574341089</v>
      </c>
      <c r="AZ81" s="29" t="n">
        <f aca="false">IF(AZ70&gt;=0,AZ77,-AZ70+AZ78)</f>
        <v>0.0574445798058554</v>
      </c>
      <c r="BA81" s="29" t="n">
        <f aca="false">IF(BA70&gt;=0,BA77,-BA70+BA78)</f>
        <v>0.0540377688457039</v>
      </c>
      <c r="BB81" s="29" t="n">
        <f aca="false">IF(BB70&gt;=0,BB77,-BB70+BB78)</f>
        <v>0.0509139925713626</v>
      </c>
      <c r="BC81" s="29" t="n">
        <f aca="false">IF(BC70&gt;=0,BC77,-BC70+BC78)</f>
        <v>0.0480443384839393</v>
      </c>
      <c r="BD81" s="29" t="n">
        <f aca="false">IF(BD70&gt;=0,BD77,-BD70+BD78)</f>
        <v>0.0454032499161775</v>
      </c>
      <c r="BE81" s="29" t="n">
        <f aca="false">IF(BE70&gt;=0,BE77,-BE70+BE78)</f>
        <v>0.0429681133671775</v>
      </c>
      <c r="BF81" s="29" t="n">
        <f aca="false">IF(BF70&gt;=0,BF77,-BF70+BF78)</f>
        <v>0.04071889429203</v>
      </c>
      <c r="BG81" s="29" t="n">
        <f aca="false">IF(BG70&gt;=0,BG77,-BG70+BG78)</f>
        <v>0.038637817481492</v>
      </c>
      <c r="BH81" s="29" t="n">
        <f aca="false">IF(BH70&gt;=0,BH77,-BH70+BH78)</f>
        <v>0.0367090876337204</v>
      </c>
      <c r="BI81" s="29" t="n">
        <f aca="false">IF(BI70&gt;=0,BI77,-BI70+BI78)</f>
        <v>0.0349186456546564</v>
      </c>
      <c r="BJ81" s="29" t="n">
        <f aca="false">IF(BJ70&gt;=0,BJ77,-BJ70+BJ78)</f>
        <v>0.0332539564191288</v>
      </c>
      <c r="BK81" s="29" t="n">
        <f aca="false">IF(BK70&gt;=0,BK77,-BK70+BK78)</f>
        <v>0.03170382405376</v>
      </c>
      <c r="BL81" s="29" t="n">
        <f aca="false">IF(BL70&gt;=0,BL77,-BL70+BL78)</f>
        <v>0.0302582311881751</v>
      </c>
      <c r="BM81" s="29" t="n">
        <f aca="false">IF(BM70&gt;=0,BM77,-BM70+BM78)</f>
        <v>0.0289081990173176</v>
      </c>
      <c r="BN81" s="29" t="n">
        <f aca="false">IF(BN70&gt;=0,BN77,-BN70+BN78)</f>
        <v>0.0276456653991625</v>
      </c>
      <c r="BO81" s="29" t="n">
        <f aca="false">IF(BO70&gt;=0,BO77,-BO70+BO78)</f>
        <v>0.0264633785653976</v>
      </c>
    </row>
    <row r="82" customFormat="false" ht="15" hidden="false" customHeight="false" outlineLevel="0" collapsed="false">
      <c r="A82" s="3" t="s">
        <v>174</v>
      </c>
      <c r="D82" s="10" t="s">
        <v>175</v>
      </c>
      <c r="E82" s="11" t="s">
        <v>173</v>
      </c>
      <c r="G82" s="29" t="n">
        <f aca="false">IF(G70&lt;=0,G78,G70+G77)</f>
        <v>0</v>
      </c>
      <c r="H82" s="29" t="n">
        <f aca="false">IF(H70&lt;=0,H78,H70+H77)</f>
        <v>6.7870964223729E-005</v>
      </c>
      <c r="I82" s="29" t="n">
        <f aca="false">IF(I70&lt;=0,I78,I70+I77)</f>
        <v>0.000278871788616698</v>
      </c>
      <c r="J82" s="29" t="n">
        <f aca="false">IF(J70&lt;=0,J78,J70+J77)</f>
        <v>0.000644914966617831</v>
      </c>
      <c r="K82" s="29" t="n">
        <f aca="false">IF(K70&lt;=0,K78,K70+K77)</f>
        <v>0.00117912279824898</v>
      </c>
      <c r="L82" s="29" t="n">
        <f aca="false">IF(L70&lt;=0,L78,L70+L77)</f>
        <v>0.00189596875186235</v>
      </c>
      <c r="M82" s="29" t="n">
        <f aca="false">IF(M70&lt;=0,M78,M70+M77)</f>
        <v>0.00281143667213629</v>
      </c>
      <c r="N82" s="29" t="n">
        <f aca="false">IF(N70&lt;=0,N78,N70+N77)</f>
        <v>0.00394320001763738</v>
      </c>
      <c r="O82" s="29" t="n">
        <f aca="false">IF(O70&lt;=0,O78,O70+O77)</f>
        <v>0.00531082348194683</v>
      </c>
      <c r="P82" s="29" t="n">
        <f aca="false">IF(P70&lt;=0,P78,P70+P77)</f>
        <v>0.00693598948160342</v>
      </c>
      <c r="Q82" s="29" t="n">
        <f aca="false">IF(Q70&lt;=0,Q78,Q70+Q77)</f>
        <v>0.00884275204587197</v>
      </c>
      <c r="R82" s="29" t="n">
        <f aca="false">IF(R70&lt;=0,R78,R70+R77)</f>
        <v>0.011057820562572</v>
      </c>
      <c r="S82" s="29" t="n">
        <f aca="false">IF(S70&lt;=0,S78,S70+S77)</f>
        <v>0.0136108755379461</v>
      </c>
      <c r="T82" s="29" t="n">
        <f aca="false">IF(T70&lt;=0,T78,T70+T77)</f>
        <v>0.016534917892357</v>
      </c>
      <c r="U82" s="29" t="n">
        <f aca="false">IF(U70&lt;=0,U78,U70+U77)</f>
        <v>0.0198666521516356</v>
      </c>
      <c r="V82" s="29" t="n">
        <f aca="false">IF(V70&lt;=0,V78,V70+V77)</f>
        <v>0.023646901928769</v>
      </c>
      <c r="W82" s="29" t="n">
        <f aca="false">IF(W70&lt;=0,W78,W70+W77)</f>
        <v>0.0279210529079484</v>
      </c>
      <c r="X82" s="29" t="n">
        <f aca="false">IF(X70&lt;=0,X78,X70+X77)</f>
        <v>0.0327395135218149</v>
      </c>
      <c r="Y82" s="29" t="n">
        <f aca="false">IF(Y70&lt;=0,Y78,Y70+Y77)</f>
        <v>0.0381581757168178</v>
      </c>
      <c r="Z82" s="29" t="n">
        <f aca="false">IF(Z70&lt;=0,Z78,Z70+Z77)</f>
        <v>0.0442388462066842</v>
      </c>
      <c r="AA82" s="29" t="n">
        <f aca="false">IF(AA70&lt;=0,AA78,AA70+AA77)</f>
        <v>0.0510496002236502</v>
      </c>
      <c r="AB82" s="29" t="n">
        <f aca="false">IF(AB70&lt;=0,AB78,AB70+AB77)</f>
        <v>0.0586649815366425</v>
      </c>
      <c r="AC82" s="29" t="n">
        <f aca="false">IF(AC70&lt;=0,AC78,AC70+AC77)</f>
        <v>0.0671659288223877</v>
      </c>
      <c r="AD82" s="29" t="n">
        <f aca="false">IF(AD70&lt;=0,AD78,AD70+AD77)</f>
        <v>0.0766392399102358</v>
      </c>
      <c r="AE82" s="29" t="n">
        <f aca="false">IF(AE70&lt;=0,AE78,AE70+AE77)</f>
        <v>0.0871762750584715</v>
      </c>
      <c r="AF82" s="29" t="n">
        <f aca="false">IF(AF70&lt;=0,AF78,AF70+AF77)</f>
        <v>0.0988704152728634</v>
      </c>
      <c r="AG82" s="29" t="n">
        <f aca="false">IF(AG70&lt;=0,AG78,AG70+AG77)</f>
        <v>0.11181245952013</v>
      </c>
      <c r="AH82" s="29" t="n">
        <f aca="false">IF(AH70&lt;=0,AH78,AH70+AH77)</f>
        <v>0.126082480725988</v>
      </c>
      <c r="AI82" s="29" t="n">
        <f aca="false">IF(AI70&lt;=0,AI78,AI70+AI77)</f>
        <v>0.141735080112852</v>
      </c>
      <c r="AJ82" s="29" t="n">
        <f aca="false">IF(AJ70&lt;=0,AJ78,AJ70+AJ77)</f>
        <v>0.158769935047315</v>
      </c>
      <c r="AK82" s="29" t="n">
        <f aca="false">IF(AK70&lt;=0,AK78,AK70+AK77)</f>
        <v>0.177048014113191</v>
      </c>
      <c r="AL82" s="29" t="n">
        <f aca="false">IF(AL70&lt;=0,AL78,AL70+AL77)</f>
        <v>0.196185052717854</v>
      </c>
      <c r="AM82" s="29" t="n">
        <f aca="false">IF(AM70&lt;=0,AM78,AM70+AM77)</f>
        <v>0.216360225784107</v>
      </c>
      <c r="AN82" s="29" t="n">
        <f aca="false">IF(AN70&lt;=0,AN78,AN70+AN77)</f>
        <v>0.23766631021132</v>
      </c>
      <c r="AO82" s="29" t="n">
        <f aca="false">IF(AO70&lt;=0,AO78,AO70+AO77)</f>
        <v>0.260078473889462</v>
      </c>
      <c r="AP82" s="29" t="n">
        <f aca="false">IF(AP70&lt;=0,AP78,AP70+AP77)</f>
        <v>0.283529004451214</v>
      </c>
      <c r="AQ82" s="29" t="n">
        <f aca="false">IF(AQ70&lt;=0,AQ78,AQ70+AQ77)</f>
        <v>0.307933453947785</v>
      </c>
      <c r="AR82" s="29" t="n">
        <f aca="false">IF(AR70&lt;=0,AR78,AR70+AR77)</f>
        <v>0.333203151201973</v>
      </c>
      <c r="AS82" s="29" t="n">
        <f aca="false">IF(AS70&lt;=0,AS78,AS70+AS77)</f>
        <v>0.359251585655894</v>
      </c>
      <c r="AT82" s="29" t="n">
        <f aca="false">IF(AT70&lt;=0,AT78,AT70+AT77)</f>
        <v>0.385997592016441</v>
      </c>
      <c r="AU82" s="29" t="n">
        <f aca="false">IF(AU70&lt;=0,AU78,AU70+AU77)</f>
        <v>0.413366765136061</v>
      </c>
      <c r="AV82" s="29" t="n">
        <f aca="false">IF(AV70&lt;=0,AV78,AV70+AV77)</f>
        <v>0.441291881400765</v>
      </c>
      <c r="AW82" s="29" t="n">
        <f aca="false">IF(AW70&lt;=0,AW78,AW70+AW77)</f>
        <v>0.469712770940601</v>
      </c>
      <c r="AX82" s="29" t="n">
        <f aca="false">IF(AX70&lt;=0,AX78,AX70+AX77)</f>
        <v>0.498575901034026</v>
      </c>
      <c r="AY82" s="29" t="n">
        <f aca="false">IF(AY70&lt;=0,AY78,AY70+AY77)</f>
        <v>0.527833824100775</v>
      </c>
      <c r="AZ82" s="29" t="n">
        <f aca="false">IF(AZ70&lt;=0,AZ78,AZ70+AZ77)</f>
        <v>0.557444579805855</v>
      </c>
      <c r="BA82" s="29" t="n">
        <f aca="false">IF(BA70&lt;=0,BA78,BA70+BA77)</f>
        <v>0.587371102179037</v>
      </c>
      <c r="BB82" s="29" t="n">
        <f aca="false">IF(BB70&lt;=0,BB78,BB70+BB77)</f>
        <v>0.617580659238029</v>
      </c>
      <c r="BC82" s="29" t="n">
        <f aca="false">IF(BC70&lt;=0,BC78,BC70+BC77)</f>
        <v>0.648044338483939</v>
      </c>
      <c r="BD82" s="29" t="n">
        <f aca="false">IF(BD70&lt;=0,BD78,BD70+BD77)</f>
        <v>0.678736583249511</v>
      </c>
      <c r="BE82" s="29" t="n">
        <f aca="false">IF(BE70&lt;=0,BE78,BE70+BE77)</f>
        <v>0.709634780033844</v>
      </c>
      <c r="BF82" s="29" t="n">
        <f aca="false">IF(BF70&lt;=0,BF78,BF70+BF77)</f>
        <v>0.74071889429203</v>
      </c>
      <c r="BG82" s="29" t="n">
        <f aca="false">IF(BG70&lt;=0,BG78,BG70+BG77)</f>
        <v>0.771971150814825</v>
      </c>
      <c r="BH82" s="29" t="n">
        <f aca="false">IF(BH70&lt;=0,BH78,BH70+BH77)</f>
        <v>0.803375754300387</v>
      </c>
      <c r="BI82" s="29" t="n">
        <f aca="false">IF(BI70&lt;=0,BI78,BI70+BI77)</f>
        <v>0.834918645654657</v>
      </c>
      <c r="BJ82" s="29" t="n">
        <f aca="false">IF(BJ70&lt;=0,BJ78,BJ70+BJ77)</f>
        <v>0.866587289752462</v>
      </c>
      <c r="BK82" s="29" t="n">
        <f aca="false">IF(BK70&lt;=0,BK78,BK70+BK77)</f>
        <v>0.898370490720427</v>
      </c>
      <c r="BL82" s="29" t="n">
        <f aca="false">IF(BL70&lt;=0,BL78,BL70+BL77)</f>
        <v>0.930258231188175</v>
      </c>
      <c r="BM82" s="29" t="n">
        <f aca="false">IF(BM70&lt;=0,BM78,BM70+BM77)</f>
        <v>0.962241532350651</v>
      </c>
      <c r="BN82" s="29" t="n">
        <f aca="false">IF(BN70&lt;=0,BN78,BN70+BN77)</f>
        <v>0.994312332065829</v>
      </c>
      <c r="BO82" s="29" t="n">
        <f aca="false">IF(BO70&lt;=0,BO78,BO70+BO77)</f>
        <v>1.0264633785654</v>
      </c>
    </row>
    <row r="84" customFormat="false" ht="15" hidden="false" customHeight="false" outlineLevel="0" collapsed="false">
      <c r="A84" s="4" t="s">
        <v>176</v>
      </c>
      <c r="B84" s="5"/>
      <c r="C84" s="5"/>
      <c r="D84" s="5"/>
      <c r="E84" s="5"/>
    </row>
    <row r="85" customFormat="false" ht="15" hidden="false" customHeight="false" outlineLevel="0" collapsed="false">
      <c r="A85" s="7" t="s">
        <v>177</v>
      </c>
      <c r="B85" s="30" t="n">
        <f aca="false">1+qL/(1-G1_)*((I1_-I1_)-G1_*(1-1))</f>
        <v>1</v>
      </c>
      <c r="D85" s="10" t="s">
        <v>178</v>
      </c>
      <c r="E85" s="11" t="s">
        <v>179</v>
      </c>
    </row>
    <row r="86" customFormat="false" ht="15" hidden="false" customHeight="false" outlineLevel="0" collapsed="false">
      <c r="A86" s="7" t="s">
        <v>180</v>
      </c>
      <c r="B86" s="30" t="n">
        <f aca="false">0</f>
        <v>0</v>
      </c>
      <c r="D86" s="10" t="s">
        <v>181</v>
      </c>
      <c r="E86" s="11" t="s">
        <v>182</v>
      </c>
    </row>
    <row r="87" customFormat="false" ht="15" hidden="false" customHeight="false" outlineLevel="0" collapsed="false">
      <c r="A87" s="7" t="s">
        <v>183</v>
      </c>
      <c r="B87" s="30" t="n">
        <f aca="false">qL/(1-G1_)*((sL/B8)*Bfn-I1_-G1_)</f>
        <v>0.178887891170488</v>
      </c>
      <c r="D87" s="10" t="s">
        <v>184</v>
      </c>
      <c r="E87" s="11" t="s">
        <v>185</v>
      </c>
    </row>
    <row r="88" customFormat="false" ht="15" hidden="false" customHeight="false" outlineLevel="0" collapsed="false">
      <c r="A88" s="22" t="s">
        <v>186</v>
      </c>
      <c r="B88" s="25" t="str">
        <f aca="false">IF(AND(ABS(ATMp-ATMq)&lt;0.000000001,ABS(C0_-1)&lt;0.000000001,ABS(P0_)&lt;0.000000001),"PASS","FAIL")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2026-07-24T08:33:13Z</dcterms:created>
  <dc:creator>openpyxl</dc:creator>
  <dc:description/>
  <dc:language>en-US</dc:language>
  <cp:lastModifiedBy/>
  <dcterms:modified xsi:type="dcterms:W3CDTF">2026-07-24T08:33:17Z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