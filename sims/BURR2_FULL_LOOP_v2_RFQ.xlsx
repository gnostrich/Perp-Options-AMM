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RFQ_RULES" sheetId="1" state="visible" r:id="rId1"/>
    <sheet name="0_Inputs" sheetId="2" state="visible" r:id="rId2"/>
    <sheet name="1_Curve" sheetId="3" state="visible" r:id="rId3"/>
    <sheet name="2_Quote" sheetId="4" state="visible" r:id="rId4"/>
    <sheet name="3_Apportion" sheetId="5" state="visible" r:id="rId5"/>
    <sheet name="4_Trade" sheetId="6" state="visible" r:id="rId6"/>
    <sheet name="5_Portfolio" sheetId="7" state="visible" r:id="rId7"/>
    <sheet name="6_Perps_Account" sheetId="8" state="visible" r:id="rId8"/>
    <sheet name="7_Margin" sheetId="9" state="visible" r:id="rId9"/>
    <sheet name="8_LP_Econ" sheetId="10" state="visible" r:id="rId10"/>
    <sheet name="9_CHECKS" sheetId="11" state="visible" r:id="rId11"/>
    <sheet name="10_Viability" sheetId="12" state="visible" r:id="rId12"/>
    <sheet name="2b_DIVIDER" sheetId="13" state="visible" r:id="rId13"/>
    <sheet name="8b_LP_LIMI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2">
    <numFmt numFmtId="164" formatCode="0.0000"/>
    <numFmt numFmtId="165" formatCode="0.000000"/>
    <numFmt numFmtId="166" formatCode="0.0"/>
    <numFmt numFmtId="167" formatCode="0.000"/>
    <numFmt numFmtId="168" formatCode="0.00000000"/>
    <numFmt numFmtId="169" formatCode="0.00000"/>
    <numFmt numFmtId="170" formatCode="0.0%"/>
    <numFmt numFmtId="171" formatCode="0.0000%"/>
    <numFmt numFmtId="172" formatCode="0.0000000000"/>
    <numFmt numFmtId="173" formatCode="0.00&quot;x&quot;"/>
    <numFmt numFmtId="174" formatCode="0.000000000000"/>
    <numFmt numFmtId="175" formatCode="0&quot; bps&quot;"/>
  </numFmts>
  <fonts count="10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1A365D"/>
      <sz val="12"/>
    </font>
    <font>
      <b val="1"/>
    </font>
    <font>
      <i val="1"/>
      <color rgb="00555555"/>
      <sz val="9"/>
    </font>
    <font>
      <b val="1"/>
      <color rgb="00FFFFFF"/>
      <sz val="10"/>
    </font>
    <font/>
    <font>
      <b val="1"/>
      <color rgb="00C53030"/>
    </font>
    <font>
      <i val="1"/>
      <color rgb="00C53030"/>
      <sz val="9"/>
    </font>
    <font>
      <b val="1"/>
      <color rgb="001F4E79"/>
    </font>
  </fonts>
  <fills count="8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3CD"/>
      </patternFill>
    </fill>
    <fill>
      <patternFill patternType="solid">
        <fgColor rgb="00EDF2F7"/>
      </patternFill>
    </fill>
    <fill>
      <patternFill patternType="solid">
        <fgColor rgb="002B6CB0"/>
      </patternFill>
    </fill>
    <fill>
      <patternFill patternType="solid">
        <fgColor rgb="00FEEBC8"/>
      </patternFill>
    </fill>
    <fill>
      <patternFill patternType="solid">
        <fgColor rgb="00C6F6D5"/>
      </patternFill>
    </fill>
  </fills>
  <borders count="3">
    <border>
      <left/>
      <right/>
      <top/>
      <bottom/>
      <diagonal/>
    </border>
    <border>
      <left style="thin">
        <color rgb="00B7791F"/>
      </left>
      <right style="thin">
        <color rgb="00B7791F"/>
      </right>
      <top style="thin">
        <color rgb="00B7791F"/>
      </top>
      <bottom style="thin">
        <color rgb="00B7791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3" fontId="0" fillId="3" borderId="1" applyAlignment="1" pivotButton="0" quotePrefix="0" xfId="0">
      <alignment horizontal="right"/>
    </xf>
    <xf numFmtId="0" fontId="4" fillId="0" borderId="0" pivotButton="0" quotePrefix="0" xfId="0"/>
    <xf numFmtId="164" fontId="0" fillId="3" borderId="1" applyAlignment="1" pivotButton="0" quotePrefix="0" xfId="0">
      <alignment horizontal="right"/>
    </xf>
    <xf numFmtId="165" fontId="0" fillId="3" borderId="1" applyAlignment="1" pivotButton="0" quotePrefix="0" xfId="0">
      <alignment horizontal="right"/>
    </xf>
    <xf numFmtId="166" fontId="0" fillId="3" borderId="1" applyAlignment="1" pivotButton="0" quotePrefix="0" xfId="0">
      <alignment horizontal="right"/>
    </xf>
    <xf numFmtId="167" fontId="0" fillId="3" borderId="1" applyAlignment="1" pivotButton="0" quotePrefix="0" xfId="0">
      <alignment horizontal="right"/>
    </xf>
    <xf numFmtId="168" fontId="0" fillId="4" borderId="2" applyAlignment="1" pivotButton="0" quotePrefix="0" xfId="0">
      <alignment horizontal="right"/>
    </xf>
    <xf numFmtId="165" fontId="0" fillId="4" borderId="2" applyAlignment="1" pivotButton="0" quotePrefix="0" xfId="0">
      <alignment horizontal="right"/>
    </xf>
    <xf numFmtId="0" fontId="5" fillId="5" borderId="0" applyAlignment="1" pivotButton="0" quotePrefix="0" xfId="0">
      <alignment horizontal="center"/>
    </xf>
    <xf numFmtId="169" fontId="0" fillId="3" borderId="1" applyAlignment="1" pivotButton="0" quotePrefix="0" xfId="0">
      <alignment horizontal="right"/>
    </xf>
    <xf numFmtId="2" fontId="0" fillId="3" borderId="1" applyAlignment="1" pivotButton="0" quotePrefix="0" xfId="0">
      <alignment horizontal="right"/>
    </xf>
    <xf numFmtId="170" fontId="0" fillId="3" borderId="1" applyAlignment="1" pivotButton="0" quotePrefix="0" xfId="0">
      <alignment horizontal="right"/>
    </xf>
    <xf numFmtId="165" fontId="0" fillId="0" borderId="2" applyAlignment="1" pivotButton="0" quotePrefix="0" xfId="0">
      <alignment horizontal="right"/>
    </xf>
    <xf numFmtId="165" fontId="0" fillId="6" borderId="2" applyAlignment="1" pivotButton="0" quotePrefix="0" xfId="0">
      <alignment horizontal="right"/>
    </xf>
    <xf numFmtId="2" fontId="0" fillId="0" borderId="2" applyAlignment="1" pivotButton="0" quotePrefix="0" xfId="0">
      <alignment horizontal="right"/>
    </xf>
    <xf numFmtId="171" fontId="0" fillId="0" borderId="2" applyAlignment="1" pivotButton="0" quotePrefix="0" xfId="0">
      <alignment horizontal="right"/>
    </xf>
    <xf numFmtId="169" fontId="0" fillId="0" borderId="2" applyAlignment="1" pivotButton="0" quotePrefix="0" xfId="0">
      <alignment horizontal="right"/>
    </xf>
    <xf numFmtId="171" fontId="0" fillId="7" borderId="2" applyAlignment="1" pivotButton="0" quotePrefix="0" xfId="0">
      <alignment horizontal="right"/>
    </xf>
    <xf numFmtId="0" fontId="3" fillId="0" borderId="2" applyAlignment="1" pivotButton="0" quotePrefix="0" xfId="0">
      <alignment horizontal="right"/>
    </xf>
    <xf numFmtId="164" fontId="0" fillId="0" borderId="2" applyAlignment="1" pivotButton="0" quotePrefix="0" xfId="0">
      <alignment horizontal="right"/>
    </xf>
    <xf numFmtId="168" fontId="0" fillId="0" borderId="2" applyAlignment="1" pivotButton="0" quotePrefix="0" xfId="0">
      <alignment horizontal="right"/>
    </xf>
    <xf numFmtId="172" fontId="0" fillId="7" borderId="2" applyAlignment="1" pivotButton="0" quotePrefix="0" xfId="0">
      <alignment horizontal="right"/>
    </xf>
    <xf numFmtId="11" fontId="0" fillId="7" borderId="2" applyAlignment="1" pivotButton="0" quotePrefix="0" xfId="0">
      <alignment horizontal="right"/>
    </xf>
    <xf numFmtId="166" fontId="0" fillId="0" borderId="2" applyAlignment="1" pivotButton="0" quotePrefix="0" xfId="0">
      <alignment horizontal="right"/>
    </xf>
    <xf numFmtId="169" fontId="0" fillId="7" borderId="2" applyAlignment="1" pivotButton="0" quotePrefix="0" xfId="0">
      <alignment horizontal="right"/>
    </xf>
    <xf numFmtId="1" fontId="0" fillId="3" borderId="1" applyAlignment="1" pivotButton="0" quotePrefix="0" xfId="0">
      <alignment horizontal="right"/>
    </xf>
    <xf numFmtId="0" fontId="0" fillId="0" borderId="2" applyAlignment="1" pivotButton="0" quotePrefix="0" xfId="0">
      <alignment horizontal="right"/>
    </xf>
    <xf numFmtId="10" fontId="0" fillId="0" borderId="2" applyAlignment="1" pivotButton="0" quotePrefix="0" xfId="0">
      <alignment horizontal="right"/>
    </xf>
    <xf numFmtId="165" fontId="0" fillId="7" borderId="2" applyAlignment="1" pivotButton="0" quotePrefix="0" xfId="0">
      <alignment horizontal="right"/>
    </xf>
    <xf numFmtId="3" fontId="0" fillId="0" borderId="2" applyAlignment="1" pivotButton="0" quotePrefix="0" xfId="0">
      <alignment horizontal="right"/>
    </xf>
    <xf numFmtId="3" fontId="0" fillId="7" borderId="2" applyAlignment="1" pivotButton="0" quotePrefix="0" xfId="0">
      <alignment horizontal="right"/>
    </xf>
    <xf numFmtId="0" fontId="6" fillId="0" borderId="0" pivotButton="0" quotePrefix="0" xfId="0"/>
    <xf numFmtId="173" fontId="0" fillId="0" borderId="2" applyAlignment="1" pivotButton="0" quotePrefix="0" xfId="0">
      <alignment horizontal="right"/>
    </xf>
    <xf numFmtId="0" fontId="2" fillId="0" borderId="2" applyAlignment="1" pivotButton="0" quotePrefix="0" xfId="0">
      <alignment horizontal="right"/>
    </xf>
    <xf numFmtId="0" fontId="0" fillId="7" borderId="2" applyAlignment="1" pivotButton="0" quotePrefix="0" xfId="0">
      <alignment horizontal="right"/>
    </xf>
    <xf numFmtId="3" fontId="0" fillId="4" borderId="2" applyAlignment="1" pivotButton="0" quotePrefix="0" xfId="0">
      <alignment horizontal="right"/>
    </xf>
    <xf numFmtId="170" fontId="0" fillId="7" borderId="2" applyAlignment="1" pivotButton="0" quotePrefix="0" xfId="0">
      <alignment horizontal="right"/>
    </xf>
    <xf numFmtId="170" fontId="0" fillId="0" borderId="2" applyAlignment="1" pivotButton="0" quotePrefix="0" xfId="0">
      <alignment horizontal="right"/>
    </xf>
    <xf numFmtId="174" fontId="0" fillId="0" borderId="2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2" fontId="0" fillId="7" borderId="2" pivotButton="0" quotePrefix="0" xfId="0"/>
    <xf numFmtId="167" fontId="0" fillId="4" borderId="2" applyAlignment="1" pivotButton="0" quotePrefix="0" xfId="0">
      <alignment horizontal="right"/>
    </xf>
    <xf numFmtId="166" fontId="5" fillId="5" borderId="0" applyAlignment="1" pivotButton="0" quotePrefix="0" xfId="0">
      <alignment horizontal="center"/>
    </xf>
    <xf numFmtId="175" fontId="5" fillId="5" borderId="0" applyAlignment="1" pivotButton="0" quotePrefix="0" xfId="0">
      <alignment horizontal="center"/>
    </xf>
    <xf numFmtId="0" fontId="9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F6D5"/>
        </patternFill>
      </fill>
    </dxf>
    <dxf>
      <fill>
        <patternFill patternType="solid">
          <fgColor rgb="00FED7D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THE RATIFIED RFQ MECHANISM (operator entries cited; supersedes any older convention in later sheets)</t>
        </is>
      </c>
    </row>
    <row r="2">
      <c r="A2" s="35" t="inlineStr">
        <is>
          <t>1. Makers quote whole curves; fills split at each maker own price; no shared book (554/568)</t>
        </is>
      </c>
    </row>
    <row r="3">
      <c r="A3" s="35" t="inlineStr">
        <is>
          <t>2. You see SELF and AGGREGATE only (566)</t>
        </is>
      </c>
    </row>
    <row r="4">
      <c r="A4" s="35" t="inlineStr">
        <is>
          <t>3. PRICING = DORMANCY DIVIDER (606/607): aggregate = capital-weighted mean of maker mids, NO spread.</t>
        </is>
      </c>
    </row>
    <row r="5">
      <c r="A5" s="35" t="inlineStr">
        <is>
          <t xml:space="preserve">   Each maker bid/ask stands as posted; any quote crossing the divider is DORMANT (sleeps, not clipped).</t>
        </is>
      </c>
    </row>
    <row r="6">
      <c r="A6" s="35" t="inlineStr">
        <is>
          <t xml:space="preserve">   See sheet 2b_DIVIDER for the live calculation + checks.</t>
        </is>
      </c>
    </row>
    <row r="7">
      <c r="A7" s="35" t="inlineStr">
        <is>
          <t>4. LP inputs = exposure limits E+/E- ONLY, no notional, no leverage (604/607). See 8b_LP_LIMITS.</t>
        </is>
      </c>
    </row>
    <row r="8">
      <c r="A8" s="35" t="inlineStr">
        <is>
          <t>5. Bundle atomic: option/spread + carved perp open together, close IN FULL together (587).</t>
        </is>
      </c>
    </row>
    <row r="9">
      <c r="A9" s="35" t="inlineStr">
        <is>
          <t>6. Carved perp is still a perp in every respect (586).</t>
        </is>
      </c>
    </row>
    <row r="10">
      <c r="A10" s="35" t="inlineStr">
        <is>
          <t>7. Trader payout = option leg + perp leg. LP payout = OPTION LEG ONLY (592).</t>
        </is>
      </c>
    </row>
    <row r="11">
      <c r="A11" s="35" t="inlineStr">
        <is>
          <t>8. Close = a TRADE at the aggregate, closer own curve EXCLUDED; leverage never scales payout (578/592).</t>
        </is>
      </c>
    </row>
    <row r="12">
      <c r="A12" s="35" t="inlineStr">
        <is>
          <t>9. Account-level liquidation, ~50x, perps+options one pot, LP excluded; no per-position liq price.</t>
        </is>
      </c>
    </row>
    <row r="13">
      <c r="A13" s="35" t="inlineStr">
        <is>
          <t>NOTE: sheets 2_Quote/4_Trade retain the single-pool pricer of the v1 loop (verified then);</t>
        </is>
      </c>
    </row>
    <row r="14">
      <c r="A14" s="35" t="inlineStr">
        <is>
          <t>the divider sheet shows the ratified multi-maker pricing on the same kernel.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58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TEMPORAL — FULL LOOP ON THE BURR-2 KERNEL (edit yellow; all sheets recompute)</t>
        </is>
      </c>
    </row>
    <row r="3">
      <c r="A3" s="2" t="inlineStr">
        <is>
          <t>CURVE (Burr-2 / t-family)</t>
        </is>
      </c>
    </row>
    <row r="4">
      <c r="A4" s="3" t="inlineStr">
        <is>
          <t>S</t>
        </is>
      </c>
      <c r="B4" s="4" t="n">
        <v>65695.5</v>
      </c>
      <c r="C4" s="5" t="inlineStr">
        <is>
          <t>perp mark: the centre AND the crossing</t>
        </is>
      </c>
    </row>
    <row r="5">
      <c r="A5" s="3" t="inlineStr">
        <is>
          <t>Sbar</t>
        </is>
      </c>
      <c r="B5" s="6" t="n">
        <v>0.6</v>
      </c>
      <c r="C5" s="5" t="inlineStr">
        <is>
          <t>LEVEL - sets the ATM price</t>
        </is>
      </c>
    </row>
    <row r="6">
      <c r="A6" s="3" t="inlineStr">
        <is>
          <t>a</t>
        </is>
      </c>
      <c r="B6" s="6" t="n">
        <v>1.2705</v>
      </c>
      <c r="C6" s="5" t="inlineStr">
        <is>
          <t>shoulder sharpness near the money</t>
        </is>
      </c>
    </row>
    <row r="7">
      <c r="A7" s="3" t="inlineStr">
        <is>
          <t>gam</t>
        </is>
      </c>
      <c r="B7" s="6" t="n">
        <v>1.8413</v>
      </c>
      <c r="C7" s="5" t="inlineStr">
        <is>
          <t>tail index</t>
        </is>
      </c>
    </row>
    <row r="8">
      <c r="A8" s="3" t="inlineStr">
        <is>
          <t>kappa</t>
        </is>
      </c>
      <c r="B8" s="7" t="n">
        <v>0</v>
      </c>
      <c r="C8" s="5" t="inlineStr">
        <is>
          <t>THE state a swap moves (additive, clamp +-0.95)</t>
        </is>
      </c>
    </row>
    <row r="9">
      <c r="A9" s="3" t="inlineStr">
        <is>
          <t>Npool</t>
        </is>
      </c>
      <c r="B9" s="8" t="n">
        <v>200</v>
      </c>
      <c r="C9" s="5" t="inlineStr">
        <is>
          <t>pool notional BTC</t>
        </is>
      </c>
    </row>
    <row r="10">
      <c r="A10" s="3" t="inlineStr">
        <is>
          <t>lam</t>
        </is>
      </c>
      <c r="B10" s="6" t="n">
        <v>0.01</v>
      </c>
      <c r="C10" s="5" t="inlineStr">
        <is>
          <t>impact: kappa change per ATM trade = 1% of pool</t>
        </is>
      </c>
    </row>
    <row r="11">
      <c r="A11" s="3" t="inlineStr">
        <is>
          <t>fee</t>
        </is>
      </c>
      <c r="B11" s="9" t="n">
        <v>0.003</v>
      </c>
      <c r="C11" s="5" t="inlineStr">
        <is>
          <t>flat fee off premium</t>
        </is>
      </c>
    </row>
    <row r="12">
      <c r="A12" s="3" t="inlineStr">
        <is>
          <t>Bfn</t>
        </is>
      </c>
      <c r="B12" s="10">
        <f>EXP(GAMMALN(1/'0_Inputs'!$B$6)+GAMMALN('0_Inputs'!$B$7/'0_Inputs'!$B$6)-GAMMALN(1/'0_Inputs'!$B$6+'0_Inputs'!$B$7/'0_Inputs'!$B$6))</f>
        <v/>
      </c>
      <c r="C12" s="5">
        <f> B(1/a,gam/a) via GAMMALN</f>
        <v/>
      </c>
    </row>
    <row r="13">
      <c r="A13" s="3" t="inlineStr">
        <is>
          <t>sR</t>
        </is>
      </c>
      <c r="B13" s="11">
        <f>'0_Inputs'!$B$5*(1+'0_Inputs'!$B$8)</f>
        <v/>
      </c>
      <c r="C13" s="5" t="inlineStr">
        <is>
          <t>call wing scale = Sbar(1+kappa)</t>
        </is>
      </c>
    </row>
    <row r="14">
      <c r="A14" s="3" t="inlineStr">
        <is>
          <t>sL</t>
        </is>
      </c>
      <c r="B14" s="11">
        <f>'0_Inputs'!$B$5*(1-'0_Inputs'!$B$8)</f>
        <v/>
      </c>
      <c r="C14" s="5" t="inlineStr">
        <is>
          <t>put wing scale = Sbar(1-kappa)</t>
        </is>
      </c>
    </row>
    <row r="15">
      <c r="A15" s="3" t="inlineStr">
        <is>
          <t>G1_</t>
        </is>
      </c>
      <c r="B15" s="10">
        <f>(1+(1/'0_Inputs'!$B$14)^'0_Inputs'!$B$6)^(-('0_Inputs'!$B$7+1)/'0_Inputs'!$B$6)</f>
        <v/>
      </c>
      <c r="C15" s="5" t="inlineStr">
        <is>
          <t>put-wing survival at zero</t>
        </is>
      </c>
    </row>
    <row r="16">
      <c r="A16" s="3" t="inlineStr">
        <is>
          <t>I1_</t>
        </is>
      </c>
      <c r="B16" s="10">
        <f>('0_Inputs'!$B$14/'0_Inputs'!$B$6)*'0_Inputs'!$B$12*(1-BETADIST(1/(1+'0_Inputs'!$B$14^'0_Inputs'!$B$6),1/'0_Inputs'!$B$6,'0_Inputs'!$B$7/'0_Inputs'!$B$6))</f>
        <v/>
      </c>
      <c r="C16" s="5" t="inlineStr">
        <is>
          <t>put-wing integral at zero</t>
        </is>
      </c>
    </row>
    <row r="17">
      <c r="A17" s="3" t="inlineStr">
        <is>
          <t>WR</t>
        </is>
      </c>
      <c r="B17" s="10">
        <f>'0_Inputs'!$B$13*'0_Inputs'!$B$12/'0_Inputs'!$B$6</f>
        <v/>
      </c>
      <c r="C17" s="5" t="inlineStr">
        <is>
          <t>call wing area</t>
        </is>
      </c>
    </row>
    <row r="18">
      <c r="A18" s="3" t="inlineStr">
        <is>
          <t>WL</t>
        </is>
      </c>
      <c r="B18" s="10">
        <f>('0_Inputs'!$B$14*'0_Inputs'!$B$12/'0_Inputs'!$B$6-'0_Inputs'!$B$16-'0_Inputs'!$B$15)/(1-'0_Inputs'!$B$15)</f>
        <v/>
      </c>
      <c r="C18" s="5" t="inlineStr">
        <is>
          <t>put wing area</t>
        </is>
      </c>
    </row>
    <row r="19">
      <c r="A19" s="3" t="inlineStr">
        <is>
          <t>qR</t>
        </is>
      </c>
      <c r="B19" s="10">
        <f>'0_Inputs'!$B$18/('0_Inputs'!$B$17+'0_Inputs'!$B$18)</f>
        <v/>
      </c>
      <c r="C19" s="5" t="inlineStr">
        <is>
          <t>THE PEG = WL/(WR+WL) - makes wings meet</t>
        </is>
      </c>
    </row>
    <row r="20">
      <c r="A20" s="3" t="inlineStr">
        <is>
          <t>qL</t>
        </is>
      </c>
      <c r="B20" s="10">
        <f>1-'0_Inputs'!$B$19</f>
        <v/>
      </c>
      <c r="C20" s="5">
        <f> 1-qR</f>
        <v/>
      </c>
    </row>
    <row r="21">
      <c r="A21" s="3" t="inlineStr">
        <is>
          <t>ATMp</t>
        </is>
      </c>
      <c r="B21" s="10">
        <f>'0_Inputs'!$B$19*('0_Inputs'!$B$13/'0_Inputs'!$B$6)*'0_Inputs'!$B$12</f>
        <v/>
      </c>
      <c r="C21" s="5">
        <f> qR*(sR/a)*Bfn</f>
        <v/>
      </c>
    </row>
    <row r="23">
      <c r="A23" s="2" t="inlineStr">
        <is>
          <t>PER-LP — own DEPTH (lambda_i) and own POSTED half-spread h_i</t>
        </is>
      </c>
    </row>
    <row r="24">
      <c r="A24" s="12" t="inlineStr">
        <is>
          <t>LP</t>
        </is>
      </c>
      <c r="B24" s="12" t="inlineStr">
        <is>
          <t>lambda_i</t>
        </is>
      </c>
      <c r="C24" s="12" t="inlineStr">
        <is>
          <t>h_i posted</t>
        </is>
      </c>
      <c r="D24" s="12" t="inlineStr">
        <is>
          <t>depth cap (BTC)</t>
        </is>
      </c>
      <c r="E24" s="12" t="inlineStr">
        <is>
          <t>equity $</t>
        </is>
      </c>
    </row>
    <row r="25">
      <c r="A25" s="3" t="inlineStr">
        <is>
          <t>LP-C tight</t>
        </is>
      </c>
      <c r="B25" s="6" t="n">
        <v>0.02</v>
      </c>
      <c r="C25" s="13" t="n">
        <v>0.0005</v>
      </c>
      <c r="D25" s="8" t="n">
        <v>60</v>
      </c>
      <c r="E25" s="4" t="n">
        <v>1000000</v>
      </c>
    </row>
    <row r="26">
      <c r="A26" s="3" t="inlineStr">
        <is>
          <t>LP-B mid</t>
        </is>
      </c>
      <c r="B26" s="6" t="n">
        <v>0.05</v>
      </c>
      <c r="C26" s="13" t="n">
        <v>0.0015</v>
      </c>
      <c r="D26" s="8" t="n">
        <v>40</v>
      </c>
      <c r="E26" s="4" t="n">
        <v>500000</v>
      </c>
    </row>
    <row r="27">
      <c r="A27" s="3" t="inlineStr">
        <is>
          <t>LP-A wide</t>
        </is>
      </c>
      <c r="B27" s="6" t="n">
        <v>0.1</v>
      </c>
      <c r="C27" s="13" t="n">
        <v>0.003</v>
      </c>
      <c r="D27" s="8" t="n">
        <v>100</v>
      </c>
      <c r="E27" s="4" t="n">
        <v>250000</v>
      </c>
    </row>
    <row r="29">
      <c r="A29" s="2" t="inlineStr">
        <is>
          <t>ACCOUNT / PERPS / CARVE  (LP positions EXCLUDED from this account)</t>
        </is>
      </c>
    </row>
    <row r="30">
      <c r="A30" s="3" t="inlineStr">
        <is>
          <t>club_long</t>
        </is>
      </c>
      <c r="B30" s="4" t="n">
        <v>4000000</v>
      </c>
      <c r="C30" s="5" t="inlineStr">
        <is>
          <t>all LONG perps, shared wallet</t>
        </is>
      </c>
    </row>
    <row r="31">
      <c r="A31" s="3" t="inlineStr">
        <is>
          <t>club_short</t>
        </is>
      </c>
      <c r="B31" s="4" t="n">
        <v>3000000</v>
      </c>
      <c r="C31" s="5" t="inlineStr">
        <is>
          <t>all SHORT perps</t>
        </is>
      </c>
    </row>
    <row r="32">
      <c r="A32" s="3" t="inlineStr">
        <is>
          <t>margin_frac</t>
        </is>
      </c>
      <c r="B32" s="14" t="n">
        <v>0.2</v>
      </c>
      <c r="C32" s="5" t="inlineStr">
        <is>
          <t>equity per $ notional</t>
        </is>
      </c>
    </row>
    <row r="33">
      <c r="A33" s="3" t="inlineStr">
        <is>
          <t>carve_frac</t>
        </is>
      </c>
      <c r="B33" s="14" t="n">
        <v>0.25</v>
      </c>
      <c r="C33" s="5" t="inlineStr">
        <is>
          <t>fraction carved to back options</t>
        </is>
      </c>
    </row>
    <row r="34">
      <c r="A34" s="3" t="inlineStr">
        <is>
          <t>acct_cap</t>
        </is>
      </c>
      <c r="B34" s="8" t="n">
        <v>50</v>
      </c>
      <c r="C34" s="5" t="inlineStr">
        <is>
          <t>ACCOUNT leverage cap</t>
        </is>
      </c>
    </row>
    <row r="35">
      <c r="A35" s="3" t="inlineStr">
        <is>
          <t>mgn_per_unit</t>
        </is>
      </c>
      <c r="B35" s="4" t="n">
        <v>100000</v>
      </c>
      <c r="C35" s="5" t="inlineStr">
        <is>
          <t>$ per carved unit at close</t>
        </is>
      </c>
    </row>
    <row r="36">
      <c r="A36" s="3" t="inlineStr">
        <is>
          <t>L0</t>
        </is>
      </c>
      <c r="B36" s="14" t="n">
        <v>1</v>
      </c>
      <c r="C36" s="5" t="inlineStr">
        <is>
          <t>carved-slice scale</t>
        </is>
      </c>
    </row>
    <row r="37">
      <c r="A37" s="3" t="inlineStr">
        <is>
          <t>RV</t>
        </is>
      </c>
      <c r="B37" s="15" t="n">
        <v>0.6</v>
      </c>
      <c r="C37" s="5" t="inlineStr">
        <is>
          <t>realized vol</t>
        </is>
      </c>
    </row>
    <row r="38">
      <c r="A38" s="3" t="inlineStr">
        <is>
          <t>turn</t>
        </is>
      </c>
      <c r="B38" s="14" t="n">
        <v>0.3</v>
      </c>
      <c r="C38" s="5" t="inlineStr">
        <is>
          <t>turnover/day</t>
        </is>
      </c>
    </row>
    <row r="39">
      <c r="A39" s="3" t="inlineStr">
        <is>
          <t>QN_volwtd</t>
        </is>
      </c>
      <c r="B39" s="9" t="n">
        <v>0.025</v>
      </c>
      <c r="C39" s="45" t="inlineStr">
        <is>
          <t>VOLUME-WEIGHTED avg trade size (fraction of pool). NOT the plain average: a few whales push this UP a lot. Revenue tracks THIS number.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8" customWidth="1" min="10" max="10"/>
  </cols>
  <sheetData>
    <row r="1" ht="22" customHeight="1">
      <c r="A1" s="1" t="inlineStr">
        <is>
          <t>THE BURR-2 CURVE — ONE number per strike; ITM by parity |k| + mirror wing</t>
        </is>
      </c>
    </row>
    <row r="3">
      <c r="A3" s="12" t="inlineStr">
        <is>
          <t>k=K/S-1</t>
        </is>
      </c>
      <c r="B3" s="12" t="inlineStr">
        <is>
          <t>uR</t>
        </is>
      </c>
      <c r="C3" s="12" t="inlineStr">
        <is>
          <t>uL</t>
        </is>
      </c>
      <c r="D3" s="12" t="inlineStr">
        <is>
          <t>A_call</t>
        </is>
      </c>
      <c r="E3" s="12" t="inlineStr">
        <is>
          <t>A_put</t>
        </is>
      </c>
      <c r="F3" s="12" t="inlineStr">
        <is>
          <t>CALL</t>
        </is>
      </c>
      <c r="G3" s="12" t="inlineStr">
        <is>
          <t>PUT</t>
        </is>
      </c>
      <c r="H3" s="12" t="inlineStr">
        <is>
          <t>C-P</t>
        </is>
      </c>
      <c r="I3" s="12" t="inlineStr">
        <is>
          <t>-k (must match)</t>
        </is>
      </c>
      <c r="J3" s="12" t="inlineStr">
        <is>
          <t>Gtilde (per strike)</t>
        </is>
      </c>
    </row>
    <row r="4">
      <c r="A4" s="14" t="n">
        <v>-0.6</v>
      </c>
      <c r="B4" s="16">
        <f>1/(1+('0_Inputs'!$B$13/MAX(ABS(A4),0.000000001))^'0_Inputs'!$B$6)</f>
        <v/>
      </c>
      <c r="C4" s="16">
        <f>1/(1+('0_Inputs'!$B$14/MAX(ABS(A4),0.000000001))^'0_Inputs'!$B$6)</f>
        <v/>
      </c>
      <c r="D4" s="16">
        <f>'0_Inputs'!$B$19*('0_Inputs'!$B$13/'0_Inputs'!$B$6)*'0_Inputs'!$B$12*(1-BETADIST(B4,1/'0_Inputs'!$B$6,'0_Inputs'!$B$7/'0_Inputs'!$B$6))</f>
        <v/>
      </c>
      <c r="E4" s="16">
        <f>IF(ABS(A4)&gt;=1,0,'0_Inputs'!$B$20/(1-'0_Inputs'!$B$15)*(('0_Inputs'!$B$14/'0_Inputs'!$B$6)*'0_Inputs'!$B$12*(1-BETADIST(C4,1/'0_Inputs'!$B$6,'0_Inputs'!$B$7/'0_Inputs'!$B$6))-'0_Inputs'!$B$16-'0_Inputs'!$B$15*(1-ABS(A4))))</f>
        <v/>
      </c>
      <c r="F4" s="17">
        <f>IF(A4&gt;=0,D4,-A4+E4)</f>
        <v/>
      </c>
      <c r="G4" s="17">
        <f>IF(A4&lt;=0,E4,A4+D4)</f>
        <v/>
      </c>
      <c r="H4" s="16">
        <f>F4-G4</f>
        <v/>
      </c>
      <c r="I4" s="16">
        <f>-A4</f>
        <v/>
      </c>
      <c r="J4" s="18" t="inlineStr"/>
    </row>
    <row r="5">
      <c r="A5" s="14" t="n">
        <v>-0.4</v>
      </c>
      <c r="B5" s="16">
        <f>1/(1+('0_Inputs'!$B$13/MAX(ABS(A5),0.000000001))^'0_Inputs'!$B$6)</f>
        <v/>
      </c>
      <c r="C5" s="16">
        <f>1/(1+('0_Inputs'!$B$14/MAX(ABS(A5),0.000000001))^'0_Inputs'!$B$6)</f>
        <v/>
      </c>
      <c r="D5" s="16">
        <f>'0_Inputs'!$B$19*('0_Inputs'!$B$13/'0_Inputs'!$B$6)*'0_Inputs'!$B$12*(1-BETADIST(B5,1/'0_Inputs'!$B$6,'0_Inputs'!$B$7/'0_Inputs'!$B$6))</f>
        <v/>
      </c>
      <c r="E5" s="16">
        <f>IF(ABS(A5)&gt;=1,0,'0_Inputs'!$B$20/(1-'0_Inputs'!$B$15)*(('0_Inputs'!$B$14/'0_Inputs'!$B$6)*'0_Inputs'!$B$12*(1-BETADIST(C5,1/'0_Inputs'!$B$6,'0_Inputs'!$B$7/'0_Inputs'!$B$6))-'0_Inputs'!$B$16-'0_Inputs'!$B$15*(1-ABS(A5))))</f>
        <v/>
      </c>
      <c r="F5" s="17">
        <f>IF(A5&gt;=0,D5,-A5+E5)</f>
        <v/>
      </c>
      <c r="G5" s="17">
        <f>IF(A5&lt;=0,E5,A5+D5)</f>
        <v/>
      </c>
      <c r="H5" s="16">
        <f>F5-G5</f>
        <v/>
      </c>
      <c r="I5" s="16">
        <f>-A5</f>
        <v/>
      </c>
      <c r="J5" s="18">
        <f>IFERROR(ABS(2*((A6-A5)*F4-(A6-A4)*F5+(A5-A4)*F6)/((A5-A4)*(A6-A5)*(A6-A4))*(1+A5)^2/MAX(F5,0.000001)),"")</f>
        <v/>
      </c>
    </row>
    <row r="6">
      <c r="A6" s="14" t="n">
        <v>-0.25</v>
      </c>
      <c r="B6" s="16">
        <f>1/(1+('0_Inputs'!$B$13/MAX(ABS(A6),0.000000001))^'0_Inputs'!$B$6)</f>
        <v/>
      </c>
      <c r="C6" s="16">
        <f>1/(1+('0_Inputs'!$B$14/MAX(ABS(A6),0.000000001))^'0_Inputs'!$B$6)</f>
        <v/>
      </c>
      <c r="D6" s="16">
        <f>'0_Inputs'!$B$19*('0_Inputs'!$B$13/'0_Inputs'!$B$6)*'0_Inputs'!$B$12*(1-BETADIST(B6,1/'0_Inputs'!$B$6,'0_Inputs'!$B$7/'0_Inputs'!$B$6))</f>
        <v/>
      </c>
      <c r="E6" s="16">
        <f>IF(ABS(A6)&gt;=1,0,'0_Inputs'!$B$20/(1-'0_Inputs'!$B$15)*(('0_Inputs'!$B$14/'0_Inputs'!$B$6)*'0_Inputs'!$B$12*(1-BETADIST(C6,1/'0_Inputs'!$B$6,'0_Inputs'!$B$7/'0_Inputs'!$B$6))-'0_Inputs'!$B$16-'0_Inputs'!$B$15*(1-ABS(A6))))</f>
        <v/>
      </c>
      <c r="F6" s="17">
        <f>IF(A6&gt;=0,D6,-A6+E6)</f>
        <v/>
      </c>
      <c r="G6" s="17">
        <f>IF(A6&lt;=0,E6,A6+D6)</f>
        <v/>
      </c>
      <c r="H6" s="16">
        <f>F6-G6</f>
        <v/>
      </c>
      <c r="I6" s="16">
        <f>-A6</f>
        <v/>
      </c>
      <c r="J6" s="18">
        <f>IFERROR(ABS(2*((A7-A6)*F5-(A7-A5)*F6+(A6-A5)*F7)/((A6-A5)*(A7-A6)*(A7-A5))*(1+A6)^2/MAX(F6,0.000001)),"")</f>
        <v/>
      </c>
    </row>
    <row r="7">
      <c r="A7" s="14" t="n">
        <v>-0.15</v>
      </c>
      <c r="B7" s="16">
        <f>1/(1+('0_Inputs'!$B$13/MAX(ABS(A7),0.000000001))^'0_Inputs'!$B$6)</f>
        <v/>
      </c>
      <c r="C7" s="16">
        <f>1/(1+('0_Inputs'!$B$14/MAX(ABS(A7),0.000000001))^'0_Inputs'!$B$6)</f>
        <v/>
      </c>
      <c r="D7" s="16">
        <f>'0_Inputs'!$B$19*('0_Inputs'!$B$13/'0_Inputs'!$B$6)*'0_Inputs'!$B$12*(1-BETADIST(B7,1/'0_Inputs'!$B$6,'0_Inputs'!$B$7/'0_Inputs'!$B$6))</f>
        <v/>
      </c>
      <c r="E7" s="16">
        <f>IF(ABS(A7)&gt;=1,0,'0_Inputs'!$B$20/(1-'0_Inputs'!$B$15)*(('0_Inputs'!$B$14/'0_Inputs'!$B$6)*'0_Inputs'!$B$12*(1-BETADIST(C7,1/'0_Inputs'!$B$6,'0_Inputs'!$B$7/'0_Inputs'!$B$6))-'0_Inputs'!$B$16-'0_Inputs'!$B$15*(1-ABS(A7))))</f>
        <v/>
      </c>
      <c r="F7" s="17">
        <f>IF(A7&gt;=0,D7,-A7+E7)</f>
        <v/>
      </c>
      <c r="G7" s="17">
        <f>IF(A7&lt;=0,E7,A7+D7)</f>
        <v/>
      </c>
      <c r="H7" s="16">
        <f>F7-G7</f>
        <v/>
      </c>
      <c r="I7" s="16">
        <f>-A7</f>
        <v/>
      </c>
      <c r="J7" s="18">
        <f>IFERROR(ABS(2*((A8-A7)*F6-(A8-A6)*F7+(A7-A6)*F8)/((A7-A6)*(A8-A7)*(A8-A6))*(1+A7)^2/MAX(F7,0.000001)),"")</f>
        <v/>
      </c>
    </row>
    <row r="8">
      <c r="A8" s="14" t="n">
        <v>-0.05</v>
      </c>
      <c r="B8" s="16">
        <f>1/(1+('0_Inputs'!$B$13/MAX(ABS(A8),0.000000001))^'0_Inputs'!$B$6)</f>
        <v/>
      </c>
      <c r="C8" s="16">
        <f>1/(1+('0_Inputs'!$B$14/MAX(ABS(A8),0.000000001))^'0_Inputs'!$B$6)</f>
        <v/>
      </c>
      <c r="D8" s="16">
        <f>'0_Inputs'!$B$19*('0_Inputs'!$B$13/'0_Inputs'!$B$6)*'0_Inputs'!$B$12*(1-BETADIST(B8,1/'0_Inputs'!$B$6,'0_Inputs'!$B$7/'0_Inputs'!$B$6))</f>
        <v/>
      </c>
      <c r="E8" s="16">
        <f>IF(ABS(A8)&gt;=1,0,'0_Inputs'!$B$20/(1-'0_Inputs'!$B$15)*(('0_Inputs'!$B$14/'0_Inputs'!$B$6)*'0_Inputs'!$B$12*(1-BETADIST(C8,1/'0_Inputs'!$B$6,'0_Inputs'!$B$7/'0_Inputs'!$B$6))-'0_Inputs'!$B$16-'0_Inputs'!$B$15*(1-ABS(A8))))</f>
        <v/>
      </c>
      <c r="F8" s="17">
        <f>IF(A8&gt;=0,D8,-A8+E8)</f>
        <v/>
      </c>
      <c r="G8" s="17">
        <f>IF(A8&lt;=0,E8,A8+D8)</f>
        <v/>
      </c>
      <c r="H8" s="16">
        <f>F8-G8</f>
        <v/>
      </c>
      <c r="I8" s="16">
        <f>-A8</f>
        <v/>
      </c>
      <c r="J8" s="18">
        <f>IFERROR(ABS(2*((A9-A8)*F7-(A9-A7)*F8+(A8-A7)*F9)/((A8-A7)*(A9-A8)*(A9-A7))*(1+A8)^2/MAX(F8,0.000001)),"")</f>
        <v/>
      </c>
    </row>
    <row r="9">
      <c r="A9" s="14" t="n">
        <v>0</v>
      </c>
      <c r="B9" s="16">
        <f>1/(1+('0_Inputs'!$B$13/MAX(ABS(A9),0.000000001))^'0_Inputs'!$B$6)</f>
        <v/>
      </c>
      <c r="C9" s="16">
        <f>1/(1+('0_Inputs'!$B$14/MAX(ABS(A9),0.000000001))^'0_Inputs'!$B$6)</f>
        <v/>
      </c>
      <c r="D9" s="16">
        <f>'0_Inputs'!$B$19*('0_Inputs'!$B$13/'0_Inputs'!$B$6)*'0_Inputs'!$B$12*(1-BETADIST(B9,1/'0_Inputs'!$B$6,'0_Inputs'!$B$7/'0_Inputs'!$B$6))</f>
        <v/>
      </c>
      <c r="E9" s="16">
        <f>IF(ABS(A9)&gt;=1,0,'0_Inputs'!$B$20/(1-'0_Inputs'!$B$15)*(('0_Inputs'!$B$14/'0_Inputs'!$B$6)*'0_Inputs'!$B$12*(1-BETADIST(C9,1/'0_Inputs'!$B$6,'0_Inputs'!$B$7/'0_Inputs'!$B$6))-'0_Inputs'!$B$16-'0_Inputs'!$B$15*(1-ABS(A9))))</f>
        <v/>
      </c>
      <c r="F9" s="17">
        <f>IF(A9&gt;=0,D9,-A9+E9)</f>
        <v/>
      </c>
      <c r="G9" s="17">
        <f>IF(A9&lt;=0,E9,A9+D9)</f>
        <v/>
      </c>
      <c r="H9" s="16">
        <f>F9-G9</f>
        <v/>
      </c>
      <c r="I9" s="16">
        <f>-A9</f>
        <v/>
      </c>
      <c r="J9" s="18">
        <f>IFERROR(ABS(2*((A10-A9)*F8-(A10-A8)*F9+(A9-A8)*F10)/((A9-A8)*(A10-A9)*(A10-A8))*(1+A9)^2/MAX(F9,0.000001)),"")</f>
        <v/>
      </c>
    </row>
    <row r="10">
      <c r="A10" s="14" t="n">
        <v>0.05</v>
      </c>
      <c r="B10" s="16">
        <f>1/(1+('0_Inputs'!$B$13/MAX(ABS(A10),0.000000001))^'0_Inputs'!$B$6)</f>
        <v/>
      </c>
      <c r="C10" s="16">
        <f>1/(1+('0_Inputs'!$B$14/MAX(ABS(A10),0.000000001))^'0_Inputs'!$B$6)</f>
        <v/>
      </c>
      <c r="D10" s="16">
        <f>'0_Inputs'!$B$19*('0_Inputs'!$B$13/'0_Inputs'!$B$6)*'0_Inputs'!$B$12*(1-BETADIST(B10,1/'0_Inputs'!$B$6,'0_Inputs'!$B$7/'0_Inputs'!$B$6))</f>
        <v/>
      </c>
      <c r="E10" s="16">
        <f>IF(ABS(A10)&gt;=1,0,'0_Inputs'!$B$20/(1-'0_Inputs'!$B$15)*(('0_Inputs'!$B$14/'0_Inputs'!$B$6)*'0_Inputs'!$B$12*(1-BETADIST(C10,1/'0_Inputs'!$B$6,'0_Inputs'!$B$7/'0_Inputs'!$B$6))-'0_Inputs'!$B$16-'0_Inputs'!$B$15*(1-ABS(A10))))</f>
        <v/>
      </c>
      <c r="F10" s="17">
        <f>IF(A10&gt;=0,D10,-A10+E10)</f>
        <v/>
      </c>
      <c r="G10" s="17">
        <f>IF(A10&lt;=0,E10,A10+D10)</f>
        <v/>
      </c>
      <c r="H10" s="16">
        <f>F10-G10</f>
        <v/>
      </c>
      <c r="I10" s="16">
        <f>-A10</f>
        <v/>
      </c>
      <c r="J10" s="18">
        <f>IFERROR(ABS(2*((A11-A10)*F9-(A11-A9)*F10+(A10-A9)*F11)/((A10-A9)*(A11-A10)*(A11-A9))*(1+A10)^2/MAX(F10,0.000001)),"")</f>
        <v/>
      </c>
    </row>
    <row r="11">
      <c r="A11" s="14" t="n">
        <v>0.15</v>
      </c>
      <c r="B11" s="16">
        <f>1/(1+('0_Inputs'!$B$13/MAX(ABS(A11),0.000000001))^'0_Inputs'!$B$6)</f>
        <v/>
      </c>
      <c r="C11" s="16">
        <f>1/(1+('0_Inputs'!$B$14/MAX(ABS(A11),0.000000001))^'0_Inputs'!$B$6)</f>
        <v/>
      </c>
      <c r="D11" s="16">
        <f>'0_Inputs'!$B$19*('0_Inputs'!$B$13/'0_Inputs'!$B$6)*'0_Inputs'!$B$12*(1-BETADIST(B11,1/'0_Inputs'!$B$6,'0_Inputs'!$B$7/'0_Inputs'!$B$6))</f>
        <v/>
      </c>
      <c r="E11" s="16">
        <f>IF(ABS(A11)&gt;=1,0,'0_Inputs'!$B$20/(1-'0_Inputs'!$B$15)*(('0_Inputs'!$B$14/'0_Inputs'!$B$6)*'0_Inputs'!$B$12*(1-BETADIST(C11,1/'0_Inputs'!$B$6,'0_Inputs'!$B$7/'0_Inputs'!$B$6))-'0_Inputs'!$B$16-'0_Inputs'!$B$15*(1-ABS(A11))))</f>
        <v/>
      </c>
      <c r="F11" s="17">
        <f>IF(A11&gt;=0,D11,-A11+E11)</f>
        <v/>
      </c>
      <c r="G11" s="17">
        <f>IF(A11&lt;=0,E11,A11+D11)</f>
        <v/>
      </c>
      <c r="H11" s="16">
        <f>F11-G11</f>
        <v/>
      </c>
      <c r="I11" s="16">
        <f>-A11</f>
        <v/>
      </c>
      <c r="J11" s="18">
        <f>IFERROR(ABS(2*((A12-A11)*F10-(A12-A10)*F11+(A11-A10)*F12)/((A11-A10)*(A12-A11)*(A12-A10))*(1+A11)^2/MAX(F11,0.000001)),"")</f>
        <v/>
      </c>
    </row>
    <row r="12">
      <c r="A12" s="14" t="n">
        <v>0.25</v>
      </c>
      <c r="B12" s="16">
        <f>1/(1+('0_Inputs'!$B$13/MAX(ABS(A12),0.000000001))^'0_Inputs'!$B$6)</f>
        <v/>
      </c>
      <c r="C12" s="16">
        <f>1/(1+('0_Inputs'!$B$14/MAX(ABS(A12),0.000000001))^'0_Inputs'!$B$6)</f>
        <v/>
      </c>
      <c r="D12" s="16">
        <f>'0_Inputs'!$B$19*('0_Inputs'!$B$13/'0_Inputs'!$B$6)*'0_Inputs'!$B$12*(1-BETADIST(B12,1/'0_Inputs'!$B$6,'0_Inputs'!$B$7/'0_Inputs'!$B$6))</f>
        <v/>
      </c>
      <c r="E12" s="16">
        <f>IF(ABS(A12)&gt;=1,0,'0_Inputs'!$B$20/(1-'0_Inputs'!$B$15)*(('0_Inputs'!$B$14/'0_Inputs'!$B$6)*'0_Inputs'!$B$12*(1-BETADIST(C12,1/'0_Inputs'!$B$6,'0_Inputs'!$B$7/'0_Inputs'!$B$6))-'0_Inputs'!$B$16-'0_Inputs'!$B$15*(1-ABS(A12))))</f>
        <v/>
      </c>
      <c r="F12" s="17">
        <f>IF(A12&gt;=0,D12,-A12+E12)</f>
        <v/>
      </c>
      <c r="G12" s="17">
        <f>IF(A12&lt;=0,E12,A12+D12)</f>
        <v/>
      </c>
      <c r="H12" s="16">
        <f>F12-G12</f>
        <v/>
      </c>
      <c r="I12" s="16">
        <f>-A12</f>
        <v/>
      </c>
      <c r="J12" s="18">
        <f>IFERROR(ABS(2*((A13-A12)*F11-(A13-A11)*F12+(A12-A11)*F13)/((A12-A11)*(A13-A12)*(A13-A11))*(1+A12)^2/MAX(F12,0.000001)),"")</f>
        <v/>
      </c>
    </row>
    <row r="13">
      <c r="A13" s="14" t="n">
        <v>0.4</v>
      </c>
      <c r="B13" s="16">
        <f>1/(1+('0_Inputs'!$B$13/MAX(ABS(A13),0.000000001))^'0_Inputs'!$B$6)</f>
        <v/>
      </c>
      <c r="C13" s="16">
        <f>1/(1+('0_Inputs'!$B$14/MAX(ABS(A13),0.000000001))^'0_Inputs'!$B$6)</f>
        <v/>
      </c>
      <c r="D13" s="16">
        <f>'0_Inputs'!$B$19*('0_Inputs'!$B$13/'0_Inputs'!$B$6)*'0_Inputs'!$B$12*(1-BETADIST(B13,1/'0_Inputs'!$B$6,'0_Inputs'!$B$7/'0_Inputs'!$B$6))</f>
        <v/>
      </c>
      <c r="E13" s="16">
        <f>IF(ABS(A13)&gt;=1,0,'0_Inputs'!$B$20/(1-'0_Inputs'!$B$15)*(('0_Inputs'!$B$14/'0_Inputs'!$B$6)*'0_Inputs'!$B$12*(1-BETADIST(C13,1/'0_Inputs'!$B$6,'0_Inputs'!$B$7/'0_Inputs'!$B$6))-'0_Inputs'!$B$16-'0_Inputs'!$B$15*(1-ABS(A13))))</f>
        <v/>
      </c>
      <c r="F13" s="17">
        <f>IF(A13&gt;=0,D13,-A13+E13)</f>
        <v/>
      </c>
      <c r="G13" s="17">
        <f>IF(A13&lt;=0,E13,A13+D13)</f>
        <v/>
      </c>
      <c r="H13" s="16">
        <f>F13-G13</f>
        <v/>
      </c>
      <c r="I13" s="16">
        <f>-A13</f>
        <v/>
      </c>
      <c r="J13" s="18">
        <f>IFERROR(ABS(2*((A14-A13)*F12-(A14-A12)*F13+(A13-A12)*F14)/((A13-A12)*(A14-A13)*(A14-A12))*(1+A13)^2/MAX(F13,0.000001)),"")</f>
        <v/>
      </c>
    </row>
    <row r="14">
      <c r="A14" s="14" t="n">
        <v>0.6</v>
      </c>
      <c r="B14" s="16">
        <f>1/(1+('0_Inputs'!$B$13/MAX(ABS(A14),0.000000001))^'0_Inputs'!$B$6)</f>
        <v/>
      </c>
      <c r="C14" s="16">
        <f>1/(1+('0_Inputs'!$B$14/MAX(ABS(A14),0.000000001))^'0_Inputs'!$B$6)</f>
        <v/>
      </c>
      <c r="D14" s="16">
        <f>'0_Inputs'!$B$19*('0_Inputs'!$B$13/'0_Inputs'!$B$6)*'0_Inputs'!$B$12*(1-BETADIST(B14,1/'0_Inputs'!$B$6,'0_Inputs'!$B$7/'0_Inputs'!$B$6))</f>
        <v/>
      </c>
      <c r="E14" s="16">
        <f>IF(ABS(A14)&gt;=1,0,'0_Inputs'!$B$20/(1-'0_Inputs'!$B$15)*(('0_Inputs'!$B$14/'0_Inputs'!$B$6)*'0_Inputs'!$B$12*(1-BETADIST(C14,1/'0_Inputs'!$B$6,'0_Inputs'!$B$7/'0_Inputs'!$B$6))-'0_Inputs'!$B$16-'0_Inputs'!$B$15*(1-ABS(A14))))</f>
        <v/>
      </c>
      <c r="F14" s="17">
        <f>IF(A14&gt;=0,D14,-A14+E14)</f>
        <v/>
      </c>
      <c r="G14" s="17">
        <f>IF(A14&lt;=0,E14,A14+D14)</f>
        <v/>
      </c>
      <c r="H14" s="16">
        <f>F14-G14</f>
        <v/>
      </c>
      <c r="I14" s="16">
        <f>-A14</f>
        <v/>
      </c>
      <c r="J14" s="18" t="inlineStr"/>
    </row>
    <row r="16">
      <c r="J16" s="3" t="inlineStr">
        <is>
          <t>mean Gtilde</t>
        </is>
      </c>
    </row>
    <row r="17">
      <c r="J17" s="46">
        <f>AVERAGE(J5:J13)</f>
        <v/>
      </c>
    </row>
    <row r="18">
      <c r="A18" s="5" t="inlineStr">
        <is>
          <t>Gtilde uses the UNEVEN-GRID 2nd-derivative formula (the strike grid is not equally spaced).</t>
        </is>
      </c>
    </row>
    <row r="19">
      <c r="A19" s="5" t="inlineStr">
        <is>
          <t>It rises with |k| on the OTM side: wing inventory is far more expensive to carry than ATM.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11" customWidth="1" min="1" max="1"/>
  </cols>
  <sheetData>
    <row r="1" ht="22" customHeight="1">
      <c r="A1" s="1" t="inlineStr">
        <is>
          <t>TWO-SIDED QUOTE — CONTINUOUS (integral) execution: trader pays the AVERAGE along the path</t>
        </is>
      </c>
    </row>
    <row r="3">
      <c r="A3" s="12" t="inlineStr">
        <is>
          <t>k</t>
        </is>
      </c>
      <c r="B3" s="12" t="inlineStr">
        <is>
          <t>mid (CALL)</t>
        </is>
      </c>
      <c r="C3" s="12" t="inlineStr">
        <is>
          <t>impact s_full</t>
        </is>
      </c>
      <c r="D3" s="12" t="inlineStr">
        <is>
          <t>posted h (tightest)</t>
        </is>
      </c>
      <c r="E3" s="12" t="inlineStr">
        <is>
          <t>effective half-spread (s_full/2)</t>
        </is>
      </c>
      <c r="F3" s="12" t="inlineStr">
        <is>
          <t>BID</t>
        </is>
      </c>
      <c r="G3" s="12" t="inlineStr">
        <is>
          <t>ASK</t>
        </is>
      </c>
      <c r="H3" s="12" t="inlineStr">
        <is>
          <t>round-trip %</t>
        </is>
      </c>
    </row>
    <row r="4">
      <c r="A4" s="18">
        <f>'1_Curve'!A4</f>
        <v/>
      </c>
      <c r="B4" s="16">
        <f>'1_Curve'!F4</f>
        <v/>
      </c>
      <c r="C4" s="19">
        <f>'0_Inputs'!$B$10*('0_Inputs'!$B$39/0.01)*'0_Inputs'!$B$21/MAX(B4,0.000000001)</f>
        <v/>
      </c>
      <c r="D4" s="20">
        <f>MIN('0_Inputs'!$C$25,'0_Inputs'!$C$26,'0_Inputs'!$C$27)</f>
        <v/>
      </c>
      <c r="E4" s="19">
        <f>C4/2+D4</f>
        <v/>
      </c>
      <c r="F4" s="16">
        <f>B4*(1-E4)</f>
        <v/>
      </c>
      <c r="G4" s="16">
        <f>B4*(1+E4)</f>
        <v/>
      </c>
      <c r="H4" s="21">
        <f>2*E4</f>
        <v/>
      </c>
    </row>
    <row r="5">
      <c r="A5" s="18">
        <f>'1_Curve'!A5</f>
        <v/>
      </c>
      <c r="B5" s="16">
        <f>'1_Curve'!F5</f>
        <v/>
      </c>
      <c r="C5" s="19">
        <f>'0_Inputs'!$B$10*('0_Inputs'!$B$39/0.01)*'0_Inputs'!$B$21/MAX(B5,0.000000001)</f>
        <v/>
      </c>
      <c r="D5" s="20">
        <f>MIN('0_Inputs'!$C$25,'0_Inputs'!$C$26,'0_Inputs'!$C$27)</f>
        <v/>
      </c>
      <c r="E5" s="19">
        <f>C5/2+D5</f>
        <v/>
      </c>
      <c r="F5" s="16">
        <f>B5*(1-E5)</f>
        <v/>
      </c>
      <c r="G5" s="16">
        <f>B5*(1+E5)</f>
        <v/>
      </c>
      <c r="H5" s="21">
        <f>2*E5</f>
        <v/>
      </c>
    </row>
    <row r="6">
      <c r="A6" s="18">
        <f>'1_Curve'!A6</f>
        <v/>
      </c>
      <c r="B6" s="16">
        <f>'1_Curve'!F6</f>
        <v/>
      </c>
      <c r="C6" s="19">
        <f>'0_Inputs'!$B$10*('0_Inputs'!$B$39/0.01)*'0_Inputs'!$B$21/MAX(B6,0.000000001)</f>
        <v/>
      </c>
      <c r="D6" s="20">
        <f>MIN('0_Inputs'!$C$25,'0_Inputs'!$C$26,'0_Inputs'!$C$27)</f>
        <v/>
      </c>
      <c r="E6" s="19">
        <f>C6/2+D6</f>
        <v/>
      </c>
      <c r="F6" s="16">
        <f>B6*(1-E6)</f>
        <v/>
      </c>
      <c r="G6" s="16">
        <f>B6*(1+E6)</f>
        <v/>
      </c>
      <c r="H6" s="21">
        <f>2*E6</f>
        <v/>
      </c>
    </row>
    <row r="7">
      <c r="A7" s="18">
        <f>'1_Curve'!A7</f>
        <v/>
      </c>
      <c r="B7" s="16">
        <f>'1_Curve'!F7</f>
        <v/>
      </c>
      <c r="C7" s="19">
        <f>'0_Inputs'!$B$10*('0_Inputs'!$B$39/0.01)*'0_Inputs'!$B$21/MAX(B7,0.000000001)</f>
        <v/>
      </c>
      <c r="D7" s="20">
        <f>MIN('0_Inputs'!$C$25,'0_Inputs'!$C$26,'0_Inputs'!$C$27)</f>
        <v/>
      </c>
      <c r="E7" s="19">
        <f>C7/2+D7</f>
        <v/>
      </c>
      <c r="F7" s="16">
        <f>B7*(1-E7)</f>
        <v/>
      </c>
      <c r="G7" s="16">
        <f>B7*(1+E7)</f>
        <v/>
      </c>
      <c r="H7" s="21">
        <f>2*E7</f>
        <v/>
      </c>
    </row>
    <row r="8">
      <c r="A8" s="18">
        <f>'1_Curve'!A8</f>
        <v/>
      </c>
      <c r="B8" s="16">
        <f>'1_Curve'!F8</f>
        <v/>
      </c>
      <c r="C8" s="19">
        <f>'0_Inputs'!$B$10*('0_Inputs'!$B$39/0.01)*'0_Inputs'!$B$21/MAX(B8,0.000000001)</f>
        <v/>
      </c>
      <c r="D8" s="20">
        <f>MIN('0_Inputs'!$C$25,'0_Inputs'!$C$26,'0_Inputs'!$C$27)</f>
        <v/>
      </c>
      <c r="E8" s="19">
        <f>C8/2+D8</f>
        <v/>
      </c>
      <c r="F8" s="16">
        <f>B8*(1-E8)</f>
        <v/>
      </c>
      <c r="G8" s="16">
        <f>B8*(1+E8)</f>
        <v/>
      </c>
      <c r="H8" s="21">
        <f>2*E8</f>
        <v/>
      </c>
    </row>
    <row r="9">
      <c r="A9" s="18">
        <f>'1_Curve'!A9</f>
        <v/>
      </c>
      <c r="B9" s="16">
        <f>'1_Curve'!F9</f>
        <v/>
      </c>
      <c r="C9" s="19">
        <f>'0_Inputs'!$B$10*('0_Inputs'!$B$39/0.01)*'0_Inputs'!$B$21/MAX(B9,0.000000001)</f>
        <v/>
      </c>
      <c r="D9" s="20">
        <f>MIN('0_Inputs'!$C$25,'0_Inputs'!$C$26,'0_Inputs'!$C$27)</f>
        <v/>
      </c>
      <c r="E9" s="19">
        <f>C9/2+D9</f>
        <v/>
      </c>
      <c r="F9" s="16">
        <f>B9*(1-E9)</f>
        <v/>
      </c>
      <c r="G9" s="16">
        <f>B9*(1+E9)</f>
        <v/>
      </c>
      <c r="H9" s="21">
        <f>2*E9</f>
        <v/>
      </c>
    </row>
    <row r="10">
      <c r="A10" s="18">
        <f>'1_Curve'!A10</f>
        <v/>
      </c>
      <c r="B10" s="16">
        <f>'1_Curve'!F10</f>
        <v/>
      </c>
      <c r="C10" s="19">
        <f>'0_Inputs'!$B$10*('0_Inputs'!$B$39/0.01)*'0_Inputs'!$B$21/MAX(B10,0.000000001)</f>
        <v/>
      </c>
      <c r="D10" s="20">
        <f>MIN('0_Inputs'!$C$25,'0_Inputs'!$C$26,'0_Inputs'!$C$27)</f>
        <v/>
      </c>
      <c r="E10" s="19">
        <f>C10/2+D10</f>
        <v/>
      </c>
      <c r="F10" s="16">
        <f>B10*(1-E10)</f>
        <v/>
      </c>
      <c r="G10" s="16">
        <f>B10*(1+E10)</f>
        <v/>
      </c>
      <c r="H10" s="21">
        <f>2*E10</f>
        <v/>
      </c>
    </row>
    <row r="11">
      <c r="A11" s="18">
        <f>'1_Curve'!A11</f>
        <v/>
      </c>
      <c r="B11" s="16">
        <f>'1_Curve'!F11</f>
        <v/>
      </c>
      <c r="C11" s="19">
        <f>'0_Inputs'!$B$10*('0_Inputs'!$B$39/0.01)*'0_Inputs'!$B$21/MAX(B11,0.000000001)</f>
        <v/>
      </c>
      <c r="D11" s="20">
        <f>MIN('0_Inputs'!$C$25,'0_Inputs'!$C$26,'0_Inputs'!$C$27)</f>
        <v/>
      </c>
      <c r="E11" s="19">
        <f>C11/2+D11</f>
        <v/>
      </c>
      <c r="F11" s="16">
        <f>B11*(1-E11)</f>
        <v/>
      </c>
      <c r="G11" s="16">
        <f>B11*(1+E11)</f>
        <v/>
      </c>
      <c r="H11" s="21">
        <f>2*E11</f>
        <v/>
      </c>
    </row>
    <row r="12">
      <c r="A12" s="18">
        <f>'1_Curve'!A12</f>
        <v/>
      </c>
      <c r="B12" s="16">
        <f>'1_Curve'!F12</f>
        <v/>
      </c>
      <c r="C12" s="19">
        <f>'0_Inputs'!$B$10*('0_Inputs'!$B$39/0.01)*'0_Inputs'!$B$21/MAX(B12,0.000000001)</f>
        <v/>
      </c>
      <c r="D12" s="20">
        <f>MIN('0_Inputs'!$C$25,'0_Inputs'!$C$26,'0_Inputs'!$C$27)</f>
        <v/>
      </c>
      <c r="E12" s="19">
        <f>C12/2+D12</f>
        <v/>
      </c>
      <c r="F12" s="16">
        <f>B12*(1-E12)</f>
        <v/>
      </c>
      <c r="G12" s="16">
        <f>B12*(1+E12)</f>
        <v/>
      </c>
      <c r="H12" s="21">
        <f>2*E12</f>
        <v/>
      </c>
    </row>
    <row r="13">
      <c r="A13" s="18">
        <f>'1_Curve'!A13</f>
        <v/>
      </c>
      <c r="B13" s="16">
        <f>'1_Curve'!F13</f>
        <v/>
      </c>
      <c r="C13" s="19">
        <f>'0_Inputs'!$B$10*('0_Inputs'!$B$39/0.01)*'0_Inputs'!$B$21/MAX(B13,0.000000001)</f>
        <v/>
      </c>
      <c r="D13" s="20">
        <f>MIN('0_Inputs'!$C$25,'0_Inputs'!$C$26,'0_Inputs'!$C$27)</f>
        <v/>
      </c>
      <c r="E13" s="19">
        <f>C13/2+D13</f>
        <v/>
      </c>
      <c r="F13" s="16">
        <f>B13*(1-E13)</f>
        <v/>
      </c>
      <c r="G13" s="16">
        <f>B13*(1+E13)</f>
        <v/>
      </c>
      <c r="H13" s="21">
        <f>2*E13</f>
        <v/>
      </c>
    </row>
    <row r="14">
      <c r="A14" s="18">
        <f>'1_Curve'!A14</f>
        <v/>
      </c>
      <c r="B14" s="16">
        <f>'1_Curve'!F14</f>
        <v/>
      </c>
      <c r="C14" s="19">
        <f>'0_Inputs'!$B$10*('0_Inputs'!$B$39/0.01)*'0_Inputs'!$B$21/MAX(B14,0.000000001)</f>
        <v/>
      </c>
      <c r="D14" s="20">
        <f>MIN('0_Inputs'!$C$25,'0_Inputs'!$C$26,'0_Inputs'!$C$27)</f>
        <v/>
      </c>
      <c r="E14" s="19">
        <f>C14/2+D14</f>
        <v/>
      </c>
      <c r="F14" s="16">
        <f>B14*(1-E14)</f>
        <v/>
      </c>
      <c r="G14" s="16">
        <f>B14*(1+E14)</f>
        <v/>
      </c>
      <c r="H14" s="21">
        <f>2*E14</f>
        <v/>
      </c>
    </row>
    <row r="16">
      <c r="A16" s="5" t="inlineStr">
        <is>
          <t>INTEGRAL convention: the trader pays the AVERAGE price along the path (= half the full-size impact),</t>
        </is>
      </c>
    </row>
    <row r="17">
      <c r="A17" s="45" t="inlineStr">
        <is>
          <t>NOT the post-execution price on the whole size. The impact half is a PRICE PATH, not LP revenue.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 ht="22" customHeight="1">
      <c r="A1" s="1" t="inlineStr">
        <is>
          <t>LP APPORTIONMENT — closed form (depth-only) AND the ladder (posted spreads)</t>
        </is>
      </c>
    </row>
    <row r="3">
      <c r="A3" s="2" t="inlineStr">
        <is>
          <t>A. CLOSED FORM (depth-only, same shape):  1/lam_agg = SUM(1/lam_i)</t>
        </is>
      </c>
    </row>
    <row r="4">
      <c r="A4" s="12" t="inlineStr">
        <is>
          <t>LP</t>
        </is>
      </c>
      <c r="B4" s="12" t="inlineStr">
        <is>
          <t>lambda_i</t>
        </is>
      </c>
      <c r="C4" s="12" t="inlineStr">
        <is>
          <t>1/lambda_i</t>
        </is>
      </c>
      <c r="D4" s="12" t="inlineStr">
        <is>
          <t>share w_i</t>
        </is>
      </c>
      <c r="E4" s="12" t="inlineStr">
        <is>
          <t>fill Q_i (BTC)</t>
        </is>
      </c>
      <c r="F4" s="12" t="inlineStr">
        <is>
          <t>revenue (BTC)</t>
        </is>
      </c>
      <c r="G4" s="12" t="inlineStr"/>
    </row>
    <row r="5">
      <c r="A5" s="22">
        <f>'0_Inputs'!A25</f>
        <v/>
      </c>
      <c r="B5" s="23">
        <f>'0_Inputs'!B25</f>
        <v/>
      </c>
      <c r="C5" s="23">
        <f>1/B5</f>
        <v/>
      </c>
      <c r="D5" s="16">
        <f>C5/SUM($C$5:$C$7)</f>
        <v/>
      </c>
      <c r="E5" s="23">
        <f>D5*'0_Inputs'!$B$39*'0_Inputs'!$B$9</f>
        <v/>
      </c>
      <c r="F5" s="24">
        <f>D5*'2_Quote'!$E$9*'0_Inputs'!$B$39*'0_Inputs'!$B$9*'2_Quote'!$B$9</f>
        <v/>
      </c>
    </row>
    <row r="6">
      <c r="A6" s="22">
        <f>'0_Inputs'!A26</f>
        <v/>
      </c>
      <c r="B6" s="23">
        <f>'0_Inputs'!B26</f>
        <v/>
      </c>
      <c r="C6" s="23">
        <f>1/B6</f>
        <v/>
      </c>
      <c r="D6" s="16">
        <f>C6/SUM($C$5:$C$7)</f>
        <v/>
      </c>
      <c r="E6" s="23">
        <f>D6*'0_Inputs'!$B$39*'0_Inputs'!$B$9</f>
        <v/>
      </c>
      <c r="F6" s="24">
        <f>D6*'2_Quote'!$E$9*'0_Inputs'!$B$39*'0_Inputs'!$B$9*'2_Quote'!$B$9</f>
        <v/>
      </c>
    </row>
    <row r="7">
      <c r="A7" s="22">
        <f>'0_Inputs'!A27</f>
        <v/>
      </c>
      <c r="B7" s="23">
        <f>'0_Inputs'!B27</f>
        <v/>
      </c>
      <c r="C7" s="23">
        <f>1/B7</f>
        <v/>
      </c>
      <c r="D7" s="16">
        <f>C7/SUM($C$5:$C$7)</f>
        <v/>
      </c>
      <c r="E7" s="23">
        <f>D7*'0_Inputs'!$B$39*'0_Inputs'!$B$9</f>
        <v/>
      </c>
      <c r="F7" s="24">
        <f>D7*'2_Quote'!$E$9*'0_Inputs'!$B$39*'0_Inputs'!$B$9*'2_Quote'!$B$9</f>
        <v/>
      </c>
    </row>
    <row r="8">
      <c r="A8" s="22" t="inlineStr">
        <is>
          <t>lam_agg = 1/SUM(1/lam_i)</t>
        </is>
      </c>
      <c r="B8" s="11">
        <f>1/SUM(C5:C7)</f>
        <v/>
      </c>
    </row>
    <row r="9">
      <c r="A9" s="22" t="inlineStr">
        <is>
          <t>shares sum (must be 1)</t>
        </is>
      </c>
      <c r="D9" s="25">
        <f>SUM(D5:D7)</f>
        <v/>
      </c>
    </row>
    <row r="10">
      <c r="A10" s="22" t="inlineStr">
        <is>
          <t>revenue conserves? (apportioned - pool)</t>
        </is>
      </c>
      <c r="F10" s="26">
        <f>SUM(F5:F7)-'2_Quote'!$E$9*'0_Inputs'!$B$39*'0_Inputs'!$B$9*'2_Quote'!$B$9</f>
        <v/>
      </c>
    </row>
    <row r="12">
      <c r="A12" s="2" t="inlineStr">
        <is>
          <t>B. LADDER (required once POSTED SPREADS differ) — cheapest h fills first</t>
        </is>
      </c>
    </row>
    <row r="13">
      <c r="A13" s="12" t="inlineStr">
        <is>
          <t>LP (by h)</t>
        </is>
      </c>
      <c r="B13" s="12" t="inlineStr">
        <is>
          <t>h_i</t>
        </is>
      </c>
      <c r="C13" s="12" t="inlineStr">
        <is>
          <t>depth cap</t>
        </is>
      </c>
      <c r="D13" s="12" t="inlineStr">
        <is>
          <t>cum. depth</t>
        </is>
      </c>
      <c r="E13" s="12" t="inlineStr">
        <is>
          <t>trade Q</t>
        </is>
      </c>
      <c r="F13" s="12" t="inlineStr">
        <is>
          <t>units filled</t>
        </is>
      </c>
      <c r="G13" s="12" t="inlineStr">
        <is>
          <t>own revenue</t>
        </is>
      </c>
    </row>
    <row r="14">
      <c r="A14" s="22">
        <f>'0_Inputs'!A25</f>
        <v/>
      </c>
      <c r="B14" s="20">
        <f>'0_Inputs'!C25</f>
        <v/>
      </c>
      <c r="C14" s="27">
        <f>'0_Inputs'!D25</f>
        <v/>
      </c>
      <c r="D14" s="27">
        <f>SUM($C$14:C14)</f>
        <v/>
      </c>
      <c r="E14" s="23">
        <f>'0_Inputs'!$B$39*'0_Inputs'!$B$9</f>
        <v/>
      </c>
      <c r="F14" s="23">
        <f>MAX(0,MIN(C14,$E$14-0))</f>
        <v/>
      </c>
      <c r="G14" s="24">
        <f>F14*B14*'2_Quote'!$B$9</f>
        <v/>
      </c>
    </row>
    <row r="15">
      <c r="A15" s="22">
        <f>'0_Inputs'!A26</f>
        <v/>
      </c>
      <c r="B15" s="20">
        <f>'0_Inputs'!C26</f>
        <v/>
      </c>
      <c r="C15" s="27">
        <f>'0_Inputs'!D26</f>
        <v/>
      </c>
      <c r="D15" s="27">
        <f>SUM($C$14:C15)</f>
        <v/>
      </c>
      <c r="E15" s="23">
        <f>'0_Inputs'!$B$39*'0_Inputs'!$B$9</f>
        <v/>
      </c>
      <c r="F15" s="23">
        <f>MAX(0,MIN(C15,$E$14-D14))</f>
        <v/>
      </c>
      <c r="G15" s="24">
        <f>F15*B15*'2_Quote'!$B$9</f>
        <v/>
      </c>
    </row>
    <row r="16">
      <c r="A16" s="22">
        <f>'0_Inputs'!A27</f>
        <v/>
      </c>
      <c r="B16" s="20">
        <f>'0_Inputs'!C27</f>
        <v/>
      </c>
      <c r="C16" s="27">
        <f>'0_Inputs'!D27</f>
        <v/>
      </c>
      <c r="D16" s="27">
        <f>SUM($C$14:C16)</f>
        <v/>
      </c>
      <c r="E16" s="23">
        <f>'0_Inputs'!$B$39*'0_Inputs'!$B$9</f>
        <v/>
      </c>
      <c r="F16" s="23">
        <f>MAX(0,MIN(C16,$E$14-D15))</f>
        <v/>
      </c>
      <c r="G16" s="24">
        <f>F16*B16*'2_Quote'!$B$9</f>
        <v/>
      </c>
    </row>
    <row r="18">
      <c r="A18" s="22" t="inlineStr">
        <is>
          <t>effective half-spread paid</t>
        </is>
      </c>
      <c r="G18" s="28">
        <f>IF(SUM(F14:F16)&gt;0,SUMPRODUCT(F14:F16,B14:B16)/SUM(F14:F16),0)</f>
        <v/>
      </c>
    </row>
    <row r="20">
      <c r="A20" s="5" t="inlineStr">
        <is>
          <t>Closed form suffices ONLY for depth-only heterogeneity. Posted spread or shape =&gt; the ladder is load-bearing.</t>
        </is>
      </c>
    </row>
    <row r="22">
      <c r="A22" s="2" t="inlineStr">
        <is>
          <t>C. LADDER ORDER IS NOT FIXED — it must be re-sorted per strike</t>
        </is>
      </c>
    </row>
    <row r="23">
      <c r="A23" s="12" t="inlineStr">
        <is>
          <t>strike k</t>
        </is>
      </c>
      <c r="B23" s="12" t="inlineStr">
        <is>
          <t>cheapest LP here</t>
        </is>
      </c>
      <c r="C23" s="12" t="inlineStr">
        <is>
          <t>2nd</t>
        </is>
      </c>
      <c r="D23" s="12" t="inlineStr">
        <is>
          <t>3rd</t>
        </is>
      </c>
      <c r="E23" s="12" t="inlineStr">
        <is>
          <t>h of cheapest</t>
        </is>
      </c>
      <c r="F23" s="12" t="inlineStr">
        <is>
          <t>order changes?</t>
        </is>
      </c>
    </row>
    <row r="24">
      <c r="A24" s="18">
        <f>'1_Curve'!A4</f>
        <v/>
      </c>
      <c r="B24" s="30">
        <f>INDEX({"LP-C","LP-B","LP-A"},MATCH(MIN('0_Inputs'!$C$25*(1+ABS(A24)*0),'0_Inputs'!$C$26*(1+ABS(A24)*1),'0_Inputs'!$C$27*(1+ABS(A24)*3)),{'0_Inputs'!$C$25*(1+ABS(A24)*0),'0_Inputs'!$C$26*(1+ABS(A24)*1),'0_Inputs'!$C$27*(1+ABS(A24)*3)},0))</f>
        <v/>
      </c>
      <c r="C24" s="30" t="n"/>
      <c r="D24" s="30" t="n"/>
      <c r="E24" s="20">
        <f>MIN('0_Inputs'!$C$25*(1+ABS(A24)*0),'0_Inputs'!$C$26*(1+ABS(A24)*1),'0_Inputs'!$C$27*(1+ABS(A24)*3))</f>
        <v/>
      </c>
      <c r="F24" s="30">
        <f>IF(B24=B$24,"same","CHANGED")</f>
        <v/>
      </c>
    </row>
    <row r="25">
      <c r="A25" s="18">
        <f>'1_Curve'!A5</f>
        <v/>
      </c>
      <c r="B25" s="30">
        <f>INDEX({"LP-C","LP-B","LP-A"},MATCH(MIN('0_Inputs'!$C$25*(1+ABS(A25)*0),'0_Inputs'!$C$26*(1+ABS(A25)*1),'0_Inputs'!$C$27*(1+ABS(A25)*3)),{'0_Inputs'!$C$25*(1+ABS(A25)*0),'0_Inputs'!$C$26*(1+ABS(A25)*1),'0_Inputs'!$C$27*(1+ABS(A25)*3)},0))</f>
        <v/>
      </c>
      <c r="C25" s="30" t="n"/>
      <c r="D25" s="30" t="n"/>
      <c r="E25" s="20">
        <f>MIN('0_Inputs'!$C$25*(1+ABS(A25)*0),'0_Inputs'!$C$26*(1+ABS(A25)*1),'0_Inputs'!$C$27*(1+ABS(A25)*3))</f>
        <v/>
      </c>
      <c r="F25" s="30">
        <f>IF(B25=B$24,"same","CHANGED")</f>
        <v/>
      </c>
    </row>
    <row r="26">
      <c r="A26" s="18">
        <f>'1_Curve'!A6</f>
        <v/>
      </c>
      <c r="B26" s="30">
        <f>INDEX({"LP-C","LP-B","LP-A"},MATCH(MIN('0_Inputs'!$C$25*(1+ABS(A26)*0),'0_Inputs'!$C$26*(1+ABS(A26)*1),'0_Inputs'!$C$27*(1+ABS(A26)*3)),{'0_Inputs'!$C$25*(1+ABS(A26)*0),'0_Inputs'!$C$26*(1+ABS(A26)*1),'0_Inputs'!$C$27*(1+ABS(A26)*3)},0))</f>
        <v/>
      </c>
      <c r="C26" s="30" t="n"/>
      <c r="D26" s="30" t="n"/>
      <c r="E26" s="20">
        <f>MIN('0_Inputs'!$C$25*(1+ABS(A26)*0),'0_Inputs'!$C$26*(1+ABS(A26)*1),'0_Inputs'!$C$27*(1+ABS(A26)*3))</f>
        <v/>
      </c>
      <c r="F26" s="30">
        <f>IF(B26=B$24,"same","CHANGED")</f>
        <v/>
      </c>
    </row>
    <row r="27">
      <c r="A27" s="18">
        <f>'1_Curve'!A7</f>
        <v/>
      </c>
      <c r="B27" s="30">
        <f>INDEX({"LP-C","LP-B","LP-A"},MATCH(MIN('0_Inputs'!$C$25*(1+ABS(A27)*0),'0_Inputs'!$C$26*(1+ABS(A27)*1),'0_Inputs'!$C$27*(1+ABS(A27)*3)),{'0_Inputs'!$C$25*(1+ABS(A27)*0),'0_Inputs'!$C$26*(1+ABS(A27)*1),'0_Inputs'!$C$27*(1+ABS(A27)*3)},0))</f>
        <v/>
      </c>
      <c r="C27" s="30" t="n"/>
      <c r="D27" s="30" t="n"/>
      <c r="E27" s="20">
        <f>MIN('0_Inputs'!$C$25*(1+ABS(A27)*0),'0_Inputs'!$C$26*(1+ABS(A27)*1),'0_Inputs'!$C$27*(1+ABS(A27)*3))</f>
        <v/>
      </c>
      <c r="F27" s="30">
        <f>IF(B27=B$24,"same","CHANGED")</f>
        <v/>
      </c>
    </row>
    <row r="28">
      <c r="A28" s="18">
        <f>'1_Curve'!A8</f>
        <v/>
      </c>
      <c r="B28" s="30">
        <f>INDEX({"LP-C","LP-B","LP-A"},MATCH(MIN('0_Inputs'!$C$25*(1+ABS(A28)*0),'0_Inputs'!$C$26*(1+ABS(A28)*1),'0_Inputs'!$C$27*(1+ABS(A28)*3)),{'0_Inputs'!$C$25*(1+ABS(A28)*0),'0_Inputs'!$C$26*(1+ABS(A28)*1),'0_Inputs'!$C$27*(1+ABS(A28)*3)},0))</f>
        <v/>
      </c>
      <c r="C28" s="30" t="n"/>
      <c r="D28" s="30" t="n"/>
      <c r="E28" s="20">
        <f>MIN('0_Inputs'!$C$25*(1+ABS(A28)*0),'0_Inputs'!$C$26*(1+ABS(A28)*1),'0_Inputs'!$C$27*(1+ABS(A28)*3))</f>
        <v/>
      </c>
      <c r="F28" s="30">
        <f>IF(B28=B$24,"same","CHANGED")</f>
        <v/>
      </c>
    </row>
    <row r="29">
      <c r="A29" s="18">
        <f>'1_Curve'!A9</f>
        <v/>
      </c>
      <c r="B29" s="30">
        <f>INDEX({"LP-C","LP-B","LP-A"},MATCH(MIN('0_Inputs'!$C$25*(1+ABS(A29)*0),'0_Inputs'!$C$26*(1+ABS(A29)*1),'0_Inputs'!$C$27*(1+ABS(A29)*3)),{'0_Inputs'!$C$25*(1+ABS(A29)*0),'0_Inputs'!$C$26*(1+ABS(A29)*1),'0_Inputs'!$C$27*(1+ABS(A29)*3)},0))</f>
        <v/>
      </c>
      <c r="C29" s="30" t="n"/>
      <c r="D29" s="30" t="n"/>
      <c r="E29" s="20">
        <f>MIN('0_Inputs'!$C$25*(1+ABS(A29)*0),'0_Inputs'!$C$26*(1+ABS(A29)*1),'0_Inputs'!$C$27*(1+ABS(A29)*3))</f>
        <v/>
      </c>
      <c r="F29" s="30">
        <f>IF(B29=B$24,"same","CHANGED")</f>
        <v/>
      </c>
    </row>
    <row r="30">
      <c r="A30" s="18">
        <f>'1_Curve'!A10</f>
        <v/>
      </c>
      <c r="B30" s="30">
        <f>INDEX({"LP-C","LP-B","LP-A"},MATCH(MIN('0_Inputs'!$C$25*(1+ABS(A30)*0),'0_Inputs'!$C$26*(1+ABS(A30)*1),'0_Inputs'!$C$27*(1+ABS(A30)*3)),{'0_Inputs'!$C$25*(1+ABS(A30)*0),'0_Inputs'!$C$26*(1+ABS(A30)*1),'0_Inputs'!$C$27*(1+ABS(A30)*3)},0))</f>
        <v/>
      </c>
      <c r="C30" s="30" t="n"/>
      <c r="D30" s="30" t="n"/>
      <c r="E30" s="20">
        <f>MIN('0_Inputs'!$C$25*(1+ABS(A30)*0),'0_Inputs'!$C$26*(1+ABS(A30)*1),'0_Inputs'!$C$27*(1+ABS(A30)*3))</f>
        <v/>
      </c>
      <c r="F30" s="30">
        <f>IF(B30=B$24,"same","CHANGED")</f>
        <v/>
      </c>
    </row>
    <row r="31">
      <c r="A31" s="18">
        <f>'1_Curve'!A11</f>
        <v/>
      </c>
      <c r="B31" s="30">
        <f>INDEX({"LP-C","LP-B","LP-A"},MATCH(MIN('0_Inputs'!$C$25*(1+ABS(A31)*0),'0_Inputs'!$C$26*(1+ABS(A31)*1),'0_Inputs'!$C$27*(1+ABS(A31)*3)),{'0_Inputs'!$C$25*(1+ABS(A31)*0),'0_Inputs'!$C$26*(1+ABS(A31)*1),'0_Inputs'!$C$27*(1+ABS(A31)*3)},0))</f>
        <v/>
      </c>
      <c r="C31" s="30" t="n"/>
      <c r="D31" s="30" t="n"/>
      <c r="E31" s="20">
        <f>MIN('0_Inputs'!$C$25*(1+ABS(A31)*0),'0_Inputs'!$C$26*(1+ABS(A31)*1),'0_Inputs'!$C$27*(1+ABS(A31)*3))</f>
        <v/>
      </c>
      <c r="F31" s="30">
        <f>IF(B31=B$24,"same","CHANGED")</f>
        <v/>
      </c>
    </row>
    <row r="32">
      <c r="A32" s="18">
        <f>'1_Curve'!A12</f>
        <v/>
      </c>
      <c r="B32" s="30">
        <f>INDEX({"LP-C","LP-B","LP-A"},MATCH(MIN('0_Inputs'!$C$25*(1+ABS(A32)*0),'0_Inputs'!$C$26*(1+ABS(A32)*1),'0_Inputs'!$C$27*(1+ABS(A32)*3)),{'0_Inputs'!$C$25*(1+ABS(A32)*0),'0_Inputs'!$C$26*(1+ABS(A32)*1),'0_Inputs'!$C$27*(1+ABS(A32)*3)},0))</f>
        <v/>
      </c>
      <c r="C32" s="30" t="n"/>
      <c r="D32" s="30" t="n"/>
      <c r="E32" s="20">
        <f>MIN('0_Inputs'!$C$25*(1+ABS(A32)*0),'0_Inputs'!$C$26*(1+ABS(A32)*1),'0_Inputs'!$C$27*(1+ABS(A32)*3))</f>
        <v/>
      </c>
      <c r="F32" s="30">
        <f>IF(B32=B$24,"same","CHANGED")</f>
        <v/>
      </c>
    </row>
    <row r="33">
      <c r="A33" s="18">
        <f>'1_Curve'!A13</f>
        <v/>
      </c>
      <c r="B33" s="30">
        <f>INDEX({"LP-C","LP-B","LP-A"},MATCH(MIN('0_Inputs'!$C$25*(1+ABS(A33)*0),'0_Inputs'!$C$26*(1+ABS(A33)*1),'0_Inputs'!$C$27*(1+ABS(A33)*3)),{'0_Inputs'!$C$25*(1+ABS(A33)*0),'0_Inputs'!$C$26*(1+ABS(A33)*1),'0_Inputs'!$C$27*(1+ABS(A33)*3)},0))</f>
        <v/>
      </c>
      <c r="C33" s="30" t="n"/>
      <c r="D33" s="30" t="n"/>
      <c r="E33" s="20">
        <f>MIN('0_Inputs'!$C$25*(1+ABS(A33)*0),'0_Inputs'!$C$26*(1+ABS(A33)*1),'0_Inputs'!$C$27*(1+ABS(A33)*3))</f>
        <v/>
      </c>
      <c r="F33" s="30">
        <f>IF(B33=B$24,"same","CHANGED")</f>
        <v/>
      </c>
    </row>
    <row r="34">
      <c r="A34" s="18">
        <f>'1_Curve'!A14</f>
        <v/>
      </c>
      <c r="B34" s="30">
        <f>INDEX({"LP-C","LP-B","LP-A"},MATCH(MIN('0_Inputs'!$C$25*(1+ABS(A34)*0),'0_Inputs'!$C$26*(1+ABS(A34)*1),'0_Inputs'!$C$27*(1+ABS(A34)*3)),{'0_Inputs'!$C$25*(1+ABS(A34)*0),'0_Inputs'!$C$26*(1+ABS(A34)*1),'0_Inputs'!$C$27*(1+ABS(A34)*3)},0))</f>
        <v/>
      </c>
      <c r="C34" s="30" t="n"/>
      <c r="D34" s="30" t="n"/>
      <c r="E34" s="20">
        <f>MIN('0_Inputs'!$C$25*(1+ABS(A34)*0),'0_Inputs'!$C$26*(1+ABS(A34)*1),'0_Inputs'!$C$27*(1+ABS(A34)*3))</f>
        <v/>
      </c>
      <c r="F34" s="30">
        <f>IF(B34=B$24,"same","CHANGED")</f>
        <v/>
      </c>
    </row>
    <row r="36">
      <c r="A36" s="5" t="inlineStr">
        <is>
          <t>Each LP's posted spread can vary with strike (h_i(k)). When it does, the cheapest LP CHANGES by strike,</t>
        </is>
      </c>
    </row>
    <row r="37">
      <c r="A37" s="5" t="inlineStr">
        <is>
          <t>so the fill ladder must be re-sorted at every strike — a single fixed order is wrong. Column F flags where it changes.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48" customWidth="1" min="3" max="3"/>
    <col width="15" customWidth="1" min="4" max="4"/>
    <col width="15" customWidth="1" min="5" max="5"/>
  </cols>
  <sheetData>
    <row r="1" ht="22" customHeight="1">
      <c r="A1" s="1" t="inlineStr">
        <is>
          <t>THE SWAP — sell one wing, buy the other; the ONLY state it moves is kappa</t>
        </is>
      </c>
    </row>
    <row r="3">
      <c r="A3" s="2" t="inlineStr">
        <is>
          <t>TRANSACTION</t>
        </is>
      </c>
    </row>
    <row r="4">
      <c r="A4" s="3" t="inlineStr">
        <is>
          <t>SELL wing (+1 call, -1 put)</t>
        </is>
      </c>
      <c r="B4" s="29" t="n">
        <v>1</v>
      </c>
    </row>
    <row r="5">
      <c r="A5" s="3" t="inlineStr">
        <is>
          <t>SELL k</t>
        </is>
      </c>
      <c r="B5" s="14" t="n">
        <v>0.1</v>
      </c>
    </row>
    <row r="6">
      <c r="A6" s="3" t="inlineStr">
        <is>
          <t>SELL size Q (BTC)</t>
        </is>
      </c>
      <c r="B6" s="14" t="n">
        <v>5</v>
      </c>
    </row>
    <row r="7">
      <c r="A7" s="3" t="inlineStr">
        <is>
          <t>BUY wing</t>
        </is>
      </c>
      <c r="B7" s="29" t="n">
        <v>-1</v>
      </c>
    </row>
    <row r="8">
      <c r="A8" s="3" t="inlineStr">
        <is>
          <t>BUY k</t>
        </is>
      </c>
      <c r="B8" s="14" t="n">
        <v>-0.1</v>
      </c>
    </row>
    <row r="10">
      <c r="A10" s="2" t="inlineStr">
        <is>
          <t>LEG PRICES (from the Burr-2 curve)</t>
        </is>
      </c>
    </row>
    <row r="11">
      <c r="A11" s="30" t="inlineStr">
        <is>
          <t>sell: uR</t>
        </is>
      </c>
      <c r="B11" s="16">
        <f>1/(1+('0_Inputs'!$B$13/MAX(ABS($B$5),0.000000001))^'0_Inputs'!$B$6)</f>
        <v/>
      </c>
    </row>
    <row r="12">
      <c r="A12" s="30" t="inlineStr">
        <is>
          <t>sell: uL</t>
        </is>
      </c>
      <c r="B12" s="16">
        <f>1/(1+('0_Inputs'!$B$14/MAX(ABS($B$5),0.000000001))^'0_Inputs'!$B$6)</f>
        <v/>
      </c>
    </row>
    <row r="13">
      <c r="A13" s="30" t="inlineStr">
        <is>
          <t>sell: A_call</t>
        </is>
      </c>
      <c r="B13" s="16">
        <f>'0_Inputs'!$B$19*('0_Inputs'!$B$13/'0_Inputs'!$B$6)*'0_Inputs'!$B$12*(1-BETADIST(B11,1/'0_Inputs'!$B$6,'0_Inputs'!$B$7/'0_Inputs'!$B$6))</f>
        <v/>
      </c>
    </row>
    <row r="14">
      <c r="A14" s="30" t="inlineStr">
        <is>
          <t>sell: A_put</t>
        </is>
      </c>
      <c r="B14" s="16">
        <f>IF(ABS($B$5)&gt;=1,0,'0_Inputs'!$B$20/(1-'0_Inputs'!$B$15)*(('0_Inputs'!$B$14/'0_Inputs'!$B$6)*'0_Inputs'!$B$12*(1-BETADIST(B12,1/'0_Inputs'!$B$6,'0_Inputs'!$B$7/'0_Inputs'!$B$6))-'0_Inputs'!$B$16-'0_Inputs'!$B$15*(1-ABS($B$5))))</f>
        <v/>
      </c>
    </row>
    <row r="15">
      <c r="A15" s="30" t="inlineStr">
        <is>
          <t>sell: PRICE P_s</t>
        </is>
      </c>
      <c r="B15" s="11">
        <f>IF($B$4=1,IF($B$5&gt;=0,B13,-$B$5+B14),IF($B$5&lt;=0,B14,$B$5+B13))</f>
        <v/>
      </c>
    </row>
    <row r="16">
      <c r="A16" s="30" t="inlineStr">
        <is>
          <t>buy: uR</t>
        </is>
      </c>
      <c r="B16" s="16">
        <f>1/(1+('0_Inputs'!$B$13/MAX(ABS($B$8),0.000000001))^'0_Inputs'!$B$6)</f>
        <v/>
      </c>
    </row>
    <row r="17">
      <c r="A17" s="30" t="inlineStr">
        <is>
          <t>buy: uL</t>
        </is>
      </c>
      <c r="B17" s="16">
        <f>1/(1+('0_Inputs'!$B$14/MAX(ABS($B$8),0.000000001))^'0_Inputs'!$B$6)</f>
        <v/>
      </c>
    </row>
    <row r="18">
      <c r="A18" s="30" t="inlineStr">
        <is>
          <t>buy: A_call</t>
        </is>
      </c>
      <c r="B18" s="16">
        <f>'0_Inputs'!$B$19*('0_Inputs'!$B$13/'0_Inputs'!$B$6)*'0_Inputs'!$B$12*(1-BETADIST(B16,1/'0_Inputs'!$B$6,'0_Inputs'!$B$7/'0_Inputs'!$B$6))</f>
        <v/>
      </c>
    </row>
    <row r="19">
      <c r="A19" s="30" t="inlineStr">
        <is>
          <t>buy: A_put</t>
        </is>
      </c>
      <c r="B19" s="16">
        <f>IF(ABS($B$8)&gt;=1,0,'0_Inputs'!$B$20/(1-'0_Inputs'!$B$15)*(('0_Inputs'!$B$14/'0_Inputs'!$B$6)*'0_Inputs'!$B$12*(1-BETADIST(B17,1/'0_Inputs'!$B$6,'0_Inputs'!$B$7/'0_Inputs'!$B$6))-'0_Inputs'!$B$16-'0_Inputs'!$B$15*(1-ABS($B$8))))</f>
        <v/>
      </c>
    </row>
    <row r="20">
      <c r="A20" s="30" t="inlineStr">
        <is>
          <t>buy: PRICE P_b</t>
        </is>
      </c>
      <c r="B20" s="11">
        <f>IF($B$7=1,IF($B$8&gt;=0,B18,-$B$8+B19),IF($B$8&lt;=0,B19,$B$8+B18))</f>
        <v/>
      </c>
    </row>
    <row r="22">
      <c r="A22" s="2" t="inlineStr">
        <is>
          <t>EXECUTION</t>
        </is>
      </c>
    </row>
    <row r="23">
      <c r="A23" s="30" t="inlineStr">
        <is>
          <t>sell slippage s_s (INTEGRAL = half of full)</t>
        </is>
      </c>
      <c r="B23" s="19">
        <f>0.5*'0_Inputs'!$B$10*($B$6/'0_Inputs'!$B$9)/0.01*'0_Inputs'!$B$21/MAX(B15,0.000000001)</f>
        <v/>
      </c>
    </row>
    <row r="24">
      <c r="A24" s="30" t="inlineStr">
        <is>
          <t>proceeds V (BTC)</t>
        </is>
      </c>
      <c r="B24" s="16">
        <f>IF(B23&gt;=1,0,$B$6*B15*(1-'0_Inputs'!$B$11)*(1-B23))</f>
        <v/>
      </c>
    </row>
    <row r="25">
      <c r="A25" s="30" t="inlineStr">
        <is>
          <t>first-pass buy size Q0</t>
        </is>
      </c>
      <c r="B25" s="16">
        <f>IF(B20&gt;0,B24/B20,0)</f>
        <v/>
      </c>
    </row>
    <row r="26">
      <c r="A26" s="30" t="inlineStr">
        <is>
          <t>buy slippage s_b (INTEGRAL)</t>
        </is>
      </c>
      <c r="B26" s="19">
        <f>0.5*'0_Inputs'!$B$10*(B25/'0_Inputs'!$B$9)/0.01*'0_Inputs'!$B$21/MAX(B20,0.000000001)</f>
        <v/>
      </c>
    </row>
    <row r="27">
      <c r="A27" s="30" t="inlineStr">
        <is>
          <t>BUY SIZE Q_b (the answer)</t>
        </is>
      </c>
      <c r="B27" s="17">
        <f>IF(OR(B23&gt;=1,B26&gt;=1),0,B24*(1-'0_Inputs'!$B$11)/(B20*(1+B26)))</f>
        <v/>
      </c>
    </row>
    <row r="28">
      <c r="A28" s="30" t="inlineStr">
        <is>
          <t>combined cost %</t>
        </is>
      </c>
      <c r="B28" s="31">
        <f>IFERROR(1-B27*B20/($B$6*B15),1)</f>
        <v/>
      </c>
    </row>
    <row r="29">
      <c r="A29" s="30" t="inlineStr">
        <is>
          <t>LP revenue this swap = FEE ONLY (impact is a price path, not revenue)</t>
        </is>
      </c>
      <c r="B29" s="32">
        <f>$B$6*B15*'0_Inputs'!$B$11+B27*B20*'0_Inputs'!$B$11</f>
        <v/>
      </c>
    </row>
    <row r="30">
      <c r="A30" s="5" t="inlineStr">
        <is>
          <t>(endpoint-convention revenue, for reference — the OLD overstated figure)</t>
        </is>
      </c>
      <c r="B30" s="11">
        <f>$B$6*B15-B27*B20</f>
        <v/>
      </c>
    </row>
    <row r="31">
      <c r="A31" s="2" t="inlineStr">
        <is>
          <t>STATE MOVE — kappa is the ONLY thing that changes</t>
        </is>
      </c>
    </row>
    <row r="32">
      <c r="A32" s="30" t="inlineStr">
        <is>
          <t>delta kappa</t>
        </is>
      </c>
      <c r="B32" s="16">
        <f>-$B$4*'0_Inputs'!$B$10*($B$6/'0_Inputs'!$B$9)/0.01*'0_Inputs'!$B$21/MAX(B15,0.000000001)-$B$7*'0_Inputs'!$B$10*(B27/'0_Inputs'!$B$9)/0.01*'0_Inputs'!$B$21/MAX(B20,0.000000001)</f>
        <v/>
      </c>
    </row>
    <row r="33">
      <c r="A33" s="30" t="inlineStr">
        <is>
          <t>kappa AFTER (clamped)</t>
        </is>
      </c>
      <c r="B33" s="17">
        <f>MAX(-0.95,MIN(0.95,'0_Inputs'!$B$8+B32))</f>
        <v/>
      </c>
    </row>
    <row r="34">
      <c r="A34" s="30" t="inlineStr">
        <is>
          <t>sR after</t>
        </is>
      </c>
      <c r="B34" s="17">
        <f>'0_Inputs'!$B$5*(1+B33)</f>
        <v/>
      </c>
    </row>
    <row r="35">
      <c r="A35" s="30" t="inlineStr">
        <is>
          <t>sL after</t>
        </is>
      </c>
      <c r="B35" s="17">
        <f>'0_Inputs'!$B$5*(1-B33)</f>
        <v/>
      </c>
    </row>
    <row r="37">
      <c r="A37" s="5" t="inlineStr">
        <is>
          <t>A swap moves kappa -&gt; the wings re-scale -&gt; every strike re-prices. Level/shape (Sbar,a,gam) do NOT move.</t>
        </is>
      </c>
    </row>
    <row r="38">
      <c r="A38" s="45" t="inlineStr">
        <is>
          <t>Impact moves the price along the path; the trader pays the integral. It is NOT captured as LP revenue.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13" customWidth="1" min="1" max="1"/>
  </cols>
  <sheetData>
    <row r="1" ht="22" customHeight="1">
      <c r="A1" s="1" t="inlineStr">
        <is>
          <t>PORTFOLIO ACCOUNTING — total value in ONE number (ITM by parity). No intrinsic/extrinsic split</t>
        </is>
      </c>
    </row>
    <row r="3">
      <c r="A3" s="12" t="inlineStr">
        <is>
          <t>k</t>
        </is>
      </c>
      <c r="B3" s="12" t="inlineStr">
        <is>
          <t>side (+1 long)</t>
        </is>
      </c>
      <c r="C3" s="12" t="inlineStr">
        <is>
          <t>qty (BTC)</t>
        </is>
      </c>
      <c r="D3" s="12" t="inlineStr">
        <is>
          <t>unit value</t>
        </is>
      </c>
      <c r="E3" s="12" t="inlineStr">
        <is>
          <t>position value (BTC)</t>
        </is>
      </c>
      <c r="F3" s="12" t="inlineStr">
        <is>
          <t>in $</t>
        </is>
      </c>
    </row>
    <row r="4">
      <c r="A4" s="14" t="n">
        <v>0.1</v>
      </c>
      <c r="B4" s="29" t="n">
        <v>1</v>
      </c>
      <c r="C4" s="14" t="n">
        <v>3</v>
      </c>
      <c r="D4" s="16">
        <f>IF(A4&gt;=0,'1_Curve'!$D$4,'1_Curve'!$E$4)*0+IF(A4&gt;=0,'0_Inputs'!$B$19*('0_Inputs'!$B$13/'0_Inputs'!$B$6)*'0_Inputs'!$B$12*(1-BETADIST(1/(1+('0_Inputs'!$B$13/MAX(ABS(A4),0.000000001))^'0_Inputs'!$B$6),1/'0_Inputs'!$B$6,'0_Inputs'!$B$7/'0_Inputs'!$B$6)),-A4+IF(ABS(A4)&gt;=1,0,'0_Inputs'!$B$20/(1-'0_Inputs'!$B$15)*(('0_Inputs'!$B$14/'0_Inputs'!$B$6)*'0_Inputs'!$B$12*(1-BETADIST(1/(1+('0_Inputs'!$B$14/MAX(ABS(A4),0.000000001))^'0_Inputs'!$B$6),1/'0_Inputs'!$B$6,'0_Inputs'!$B$7/'0_Inputs'!$B$6))-'0_Inputs'!$B$16-'0_Inputs'!$B$15*(1-ABS(A4)))))</f>
        <v/>
      </c>
      <c r="E4" s="16">
        <f>B4*C4*D4</f>
        <v/>
      </c>
      <c r="F4" s="33">
        <f>E4*'0_Inputs'!$B$4</f>
        <v/>
      </c>
    </row>
    <row r="5">
      <c r="A5" s="14" t="n">
        <v>-0.1</v>
      </c>
      <c r="B5" s="29" t="n">
        <v>-1</v>
      </c>
      <c r="C5" s="14" t="n">
        <v>2</v>
      </c>
      <c r="D5" s="16">
        <f>IF(A5&gt;=0,'1_Curve'!$D$4,'1_Curve'!$E$4)*0+IF(A5&gt;=0,'0_Inputs'!$B$19*('0_Inputs'!$B$13/'0_Inputs'!$B$6)*'0_Inputs'!$B$12*(1-BETADIST(1/(1+('0_Inputs'!$B$13/MAX(ABS(A5),0.000000001))^'0_Inputs'!$B$6),1/'0_Inputs'!$B$6,'0_Inputs'!$B$7/'0_Inputs'!$B$6)),-A5+IF(ABS(A5)&gt;=1,0,'0_Inputs'!$B$20/(1-'0_Inputs'!$B$15)*(('0_Inputs'!$B$14/'0_Inputs'!$B$6)*'0_Inputs'!$B$12*(1-BETADIST(1/(1+('0_Inputs'!$B$14/MAX(ABS(A5),0.000000001))^'0_Inputs'!$B$6),1/'0_Inputs'!$B$6,'0_Inputs'!$B$7/'0_Inputs'!$B$6))-'0_Inputs'!$B$16-'0_Inputs'!$B$15*(1-ABS(A5)))))</f>
        <v/>
      </c>
      <c r="E5" s="16">
        <f>B5*C5*D5</f>
        <v/>
      </c>
      <c r="F5" s="33">
        <f>E5*'0_Inputs'!$B$4</f>
        <v/>
      </c>
    </row>
    <row r="6">
      <c r="A6" s="14" t="n">
        <v>0.25</v>
      </c>
      <c r="B6" s="29" t="n">
        <v>1</v>
      </c>
      <c r="C6" s="14" t="n">
        <v>1.5</v>
      </c>
      <c r="D6" s="16">
        <f>IF(A6&gt;=0,'1_Curve'!$D$4,'1_Curve'!$E$4)*0+IF(A6&gt;=0,'0_Inputs'!$B$19*('0_Inputs'!$B$13/'0_Inputs'!$B$6)*'0_Inputs'!$B$12*(1-BETADIST(1/(1+('0_Inputs'!$B$13/MAX(ABS(A6),0.000000001))^'0_Inputs'!$B$6),1/'0_Inputs'!$B$6,'0_Inputs'!$B$7/'0_Inputs'!$B$6)),-A6+IF(ABS(A6)&gt;=1,0,'0_Inputs'!$B$20/(1-'0_Inputs'!$B$15)*(('0_Inputs'!$B$14/'0_Inputs'!$B$6)*'0_Inputs'!$B$12*(1-BETADIST(1/(1+('0_Inputs'!$B$14/MAX(ABS(A6),0.000000001))^'0_Inputs'!$B$6),1/'0_Inputs'!$B$6,'0_Inputs'!$B$7/'0_Inputs'!$B$6))-'0_Inputs'!$B$16-'0_Inputs'!$B$15*(1-ABS(A6)))))</f>
        <v/>
      </c>
      <c r="E6" s="16">
        <f>B6*C6*D6</f>
        <v/>
      </c>
      <c r="F6" s="33">
        <f>E6*'0_Inputs'!$B$4</f>
        <v/>
      </c>
    </row>
    <row r="7">
      <c r="A7" s="14" t="n">
        <v>-0.3</v>
      </c>
      <c r="B7" s="29" t="n">
        <v>1</v>
      </c>
      <c r="C7" s="14" t="n">
        <v>1</v>
      </c>
      <c r="D7" s="16">
        <f>IF(A7&gt;=0,'1_Curve'!$D$4,'1_Curve'!$E$4)*0+IF(A7&gt;=0,'0_Inputs'!$B$19*('0_Inputs'!$B$13/'0_Inputs'!$B$6)*'0_Inputs'!$B$12*(1-BETADIST(1/(1+('0_Inputs'!$B$13/MAX(ABS(A7),0.000000001))^'0_Inputs'!$B$6),1/'0_Inputs'!$B$6,'0_Inputs'!$B$7/'0_Inputs'!$B$6)),-A7+IF(ABS(A7)&gt;=1,0,'0_Inputs'!$B$20/(1-'0_Inputs'!$B$15)*(('0_Inputs'!$B$14/'0_Inputs'!$B$6)*'0_Inputs'!$B$12*(1-BETADIST(1/(1+('0_Inputs'!$B$14/MAX(ABS(A7),0.000000001))^'0_Inputs'!$B$6),1/'0_Inputs'!$B$6,'0_Inputs'!$B$7/'0_Inputs'!$B$6))-'0_Inputs'!$B$16-'0_Inputs'!$B$15*(1-ABS(A7)))))</f>
        <v/>
      </c>
      <c r="E7" s="16">
        <f>B7*C7*D7</f>
        <v/>
      </c>
      <c r="F7" s="33">
        <f>E7*'0_Inputs'!$B$4</f>
        <v/>
      </c>
    </row>
    <row r="9">
      <c r="A9" s="22" t="inlineStr">
        <is>
          <t>TOTAL</t>
        </is>
      </c>
      <c r="E9" s="32">
        <f>SUM(E4:E7)</f>
        <v/>
      </c>
      <c r="F9" s="34">
        <f>SUM(F4:F7)</f>
        <v/>
      </c>
    </row>
    <row r="11">
      <c r="A11" s="5" t="inlineStr">
        <is>
          <t>Every leg is ONE number off the curve: OTM = wing, ITM = |k| + mirror wing. Nothing is split.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</cols>
  <sheetData>
    <row r="1" ht="22" customHeight="1">
      <c r="A1" s="1" t="inlineStr">
        <is>
          <t>PERPS -&gt; CARVE -&gt; OPTIONS -&gt; ACCOUNT-LEVEL LIQUIDATION (LP excluded)</t>
        </is>
      </c>
    </row>
    <row r="3">
      <c r="A3" s="12" t="inlineStr">
        <is>
          <t>line</t>
        </is>
      </c>
      <c r="B3" s="12" t="inlineStr">
        <is>
          <t>LONG club</t>
        </is>
      </c>
      <c r="C3" s="12" t="inlineStr">
        <is>
          <t>SHORT club</t>
        </is>
      </c>
      <c r="D3" s="12" t="inlineStr">
        <is>
          <t>TOTAL</t>
        </is>
      </c>
    </row>
    <row r="4">
      <c r="A4" s="35" t="inlineStr">
        <is>
          <t>perp notional $</t>
        </is>
      </c>
      <c r="B4" s="33">
        <f>'0_Inputs'!$B$30</f>
        <v/>
      </c>
      <c r="C4" s="33">
        <f>'0_Inputs'!$B$31</f>
        <v/>
      </c>
      <c r="D4" s="33">
        <f>B4+C4</f>
        <v/>
      </c>
    </row>
    <row r="5">
      <c r="A5" s="35" t="inlineStr">
        <is>
          <t>account equity $</t>
        </is>
      </c>
      <c r="B5" s="33">
        <f>B4*'0_Inputs'!$B$32</f>
        <v/>
      </c>
      <c r="C5" s="33">
        <f>C4*'0_Inputs'!$B$32</f>
        <v/>
      </c>
      <c r="D5" s="33">
        <f>B5+C5</f>
        <v/>
      </c>
    </row>
    <row r="6">
      <c r="A6" s="3" t="inlineStr">
        <is>
          <t>CARVE: notional carved to back options</t>
        </is>
      </c>
      <c r="B6" s="33">
        <f>B4*'0_Inputs'!$B$33</f>
        <v/>
      </c>
      <c r="C6" s="33">
        <f>C4*'0_Inputs'!$B$33</f>
        <v/>
      </c>
      <c r="D6" s="33">
        <f>B6+C6</f>
        <v/>
      </c>
    </row>
    <row r="7">
      <c r="A7" s="35" t="inlineStr">
        <is>
          <t>equity carved out of perps tab</t>
        </is>
      </c>
      <c r="B7" s="33">
        <f>B6*'0_Inputs'!$B$32</f>
        <v/>
      </c>
      <c r="C7" s="33">
        <f>C6*'0_Inputs'!$B$32</f>
        <v/>
      </c>
      <c r="D7" s="33">
        <f>B7+C7</f>
        <v/>
      </c>
    </row>
    <row r="8">
      <c r="A8" s="35" t="inlineStr">
        <is>
          <t>perps tab after carve (equity)</t>
        </is>
      </c>
      <c r="B8" s="33">
        <f>B5-B7</f>
        <v/>
      </c>
      <c r="C8" s="33">
        <f>C5-C7</f>
        <v/>
      </c>
      <c r="D8" s="33">
        <f>B8+C8</f>
        <v/>
      </c>
    </row>
    <row r="9">
      <c r="A9" s="35" t="inlineStr">
        <is>
          <t>options position value $ (from 5_Portfolio)</t>
        </is>
      </c>
      <c r="B9" s="33">
        <f>'5_Portfolio'!$F$9/2</f>
        <v/>
      </c>
      <c r="C9" s="33">
        <f>'5_Portfolio'!$F$9/2</f>
        <v/>
      </c>
      <c r="D9" s="33">
        <f>B9+C9</f>
        <v/>
      </c>
    </row>
    <row r="10">
      <c r="A10" s="3" t="inlineStr">
        <is>
          <t>ACCOUNT gross notional (perps + options)</t>
        </is>
      </c>
      <c r="B10" s="33">
        <f>B4+ABS(B9)</f>
        <v/>
      </c>
      <c r="C10" s="33">
        <f>C4+ABS(C9)</f>
        <v/>
      </c>
      <c r="D10" s="33">
        <f>B10+C10</f>
        <v/>
      </c>
    </row>
    <row r="11">
      <c r="A11" s="3" t="inlineStr">
        <is>
          <t>ACCOUNT equity (one pot: perps + options)</t>
        </is>
      </c>
      <c r="B11" s="33">
        <f>B5+B9</f>
        <v/>
      </c>
      <c r="C11" s="33">
        <f>C5+C9</f>
        <v/>
      </c>
      <c r="D11" s="33">
        <f>B11+C11</f>
        <v/>
      </c>
    </row>
    <row r="12">
      <c r="A12" s="3" t="inlineStr">
        <is>
          <t>ACCOUNT leverage</t>
        </is>
      </c>
      <c r="B12" s="36">
        <f>B10/B11</f>
        <v/>
      </c>
      <c r="C12" s="36">
        <f>C10/C11</f>
        <v/>
      </c>
      <c r="D12" s="36">
        <f>B12+C12</f>
        <v/>
      </c>
    </row>
    <row r="14">
      <c r="A14" s="37" t="inlineStr">
        <is>
          <t>LIQUIDATED?</t>
        </is>
      </c>
      <c r="B14" s="38">
        <f>IF(MAX(B12,C12)&gt;'0_Inputs'!$B$34,"YES - ACCOUNT LIQUIDATES","NO - within cap")</f>
        <v/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</cols>
  <sheetData>
    <row r="1" ht="22" customHeight="1">
      <c r="A1" s="1" t="inlineStr">
        <is>
          <t>LAYER 3 — PERP UNITS -&gt; ACTUAL MARGIN (the one doorway)</t>
        </is>
      </c>
    </row>
    <row r="3">
      <c r="A3" s="12" t="inlineStr">
        <is>
          <t>line</t>
        </is>
      </c>
      <c r="B3" s="12" t="inlineStr">
        <is>
          <t>value</t>
        </is>
      </c>
      <c r="C3" s="12" t="inlineStr"/>
    </row>
    <row r="4">
      <c r="A4" s="35" t="inlineStr">
        <is>
          <t>net position value in PERP UNITS (BTC)</t>
        </is>
      </c>
      <c r="B4" s="16">
        <f>'5_Portfolio'!$E$9</f>
        <v/>
      </c>
    </row>
    <row r="5">
      <c r="A5" s="35" t="inlineStr">
        <is>
          <t>x margin per unit $</t>
        </is>
      </c>
      <c r="B5" s="33">
        <f>'0_Inputs'!$B$35</f>
        <v/>
      </c>
    </row>
    <row r="6">
      <c r="A6" s="35" t="inlineStr">
        <is>
          <t>x L0</t>
        </is>
      </c>
      <c r="B6" s="18">
        <f>'0_Inputs'!$B$36</f>
        <v/>
      </c>
    </row>
    <row r="7">
      <c r="A7" s="3">
        <f> MARGIN / CASH $ (the doorway)</f>
        <v/>
      </c>
      <c r="B7" s="34">
        <f>B4*B5*B6</f>
        <v/>
      </c>
    </row>
    <row r="9">
      <c r="A9" s="5" t="inlineStr">
        <is>
          <t>Perp-land -&gt; cash-land happens ONCE, at the exit.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22" customHeight="1">
      <c r="A1" s="1" t="inlineStr">
        <is>
          <t>LP ECONOMICS ON THE BURR-2 KERNEL — revenue (fee+impact) vs gamma bleed</t>
        </is>
      </c>
    </row>
    <row r="3">
      <c r="A3" s="12" t="inlineStr">
        <is>
          <t>line</t>
        </is>
      </c>
      <c r="B3" s="12" t="inlineStr">
        <is>
          <t>LP-C</t>
        </is>
      </c>
      <c r="C3" s="12" t="inlineStr">
        <is>
          <t>LP-B</t>
        </is>
      </c>
      <c r="D3" s="12" t="inlineStr">
        <is>
          <t>LP-A</t>
        </is>
      </c>
      <c r="E3" s="12" t="inlineStr">
        <is>
          <t>TOTAL</t>
        </is>
      </c>
    </row>
    <row r="4">
      <c r="A4" s="35" t="inlineStr">
        <is>
          <t>share w_i (depth-only)</t>
        </is>
      </c>
      <c r="B4" s="16">
        <f>'3_Apportion'!D5</f>
        <v/>
      </c>
      <c r="C4" s="16">
        <f>'3_Apportion'!D6</f>
        <v/>
      </c>
      <c r="D4" s="16">
        <f>'3_Apportion'!D7</f>
        <v/>
      </c>
      <c r="E4" s="16">
        <f>SUM(B4:D4)</f>
        <v/>
      </c>
    </row>
    <row r="5">
      <c r="A5" s="35" t="inlineStr">
        <is>
          <t>book value share $</t>
        </is>
      </c>
      <c r="B5" s="33">
        <f>B4*'5_Portfolio'!$F$9</f>
        <v/>
      </c>
      <c r="C5" s="33">
        <f>C4*'5_Portfolio'!$F$9</f>
        <v/>
      </c>
      <c r="D5" s="33">
        <f>D4*'5_Portfolio'!$F$9</f>
        <v/>
      </c>
      <c r="E5" s="33">
        <f>SUM(B5:D5)</f>
        <v/>
      </c>
    </row>
    <row r="6">
      <c r="A6" s="35" t="inlineStr">
        <is>
          <t>revenue/yr = FEE x VOLUME only (BTC)</t>
        </is>
      </c>
      <c r="B6" s="16">
        <f>B4*'0_Inputs'!$B$11*'0_Inputs'!$B$38*365*'5_Portfolio'!$E$9</f>
        <v/>
      </c>
      <c r="C6" s="16">
        <f>C4*'0_Inputs'!$B$11*'0_Inputs'!$B$38*365*'5_Portfolio'!$E$9</f>
        <v/>
      </c>
      <c r="D6" s="16">
        <f>D4*'0_Inputs'!$B$11*'0_Inputs'!$B$38*365*'5_Portfolio'!$E$9</f>
        <v/>
      </c>
      <c r="E6" s="16">
        <f>SUM(B6:D6)</f>
        <v/>
      </c>
    </row>
    <row r="7">
      <c r="A7" s="35" t="inlineStr">
        <is>
          <t>revenue/yr $</t>
        </is>
      </c>
      <c r="B7" s="33">
        <f>B6*'0_Inputs'!$B$4</f>
        <v/>
      </c>
      <c r="C7" s="33">
        <f>C6*'0_Inputs'!$B$4</f>
        <v/>
      </c>
      <c r="D7" s="33">
        <f>D6*'0_Inputs'!$B$4</f>
        <v/>
      </c>
      <c r="E7" s="33">
        <f>SUM(B7:D7)</f>
        <v/>
      </c>
    </row>
    <row r="8">
      <c r="A8" s="35" t="inlineStr">
        <is>
          <t>Gtilde (curvature per unit value)</t>
        </is>
      </c>
      <c r="B8" s="18">
        <f>'1_Curve'!$J$17</f>
        <v/>
      </c>
      <c r="C8" s="18">
        <f>'1_Curve'!$J$17</f>
        <v/>
      </c>
      <c r="D8" s="18">
        <f>'1_Curve'!$J$17</f>
        <v/>
      </c>
      <c r="E8" s="16">
        <f>SUM(B8:D8)</f>
        <v/>
      </c>
    </row>
    <row r="9">
      <c r="A9" s="35" t="inlineStr">
        <is>
          <t>gamma bleed/yr $</t>
        </is>
      </c>
      <c r="B9" s="33">
        <f>0.5*B8*'0_Inputs'!$B$37^2*ABS(B5)</f>
        <v/>
      </c>
      <c r="C9" s="33">
        <f>0.5*C8*'0_Inputs'!$B$37^2*ABS(C5)</f>
        <v/>
      </c>
      <c r="D9" s="33">
        <f>0.5*D8*'0_Inputs'!$B$37^2*ABS(D5)</f>
        <v/>
      </c>
      <c r="E9" s="33">
        <f>SUM(B9:D9)</f>
        <v/>
      </c>
    </row>
    <row r="10">
      <c r="A10" s="3" t="inlineStr">
        <is>
          <t>NET $/yr</t>
        </is>
      </c>
      <c r="B10" s="39">
        <f>B7-B9</f>
        <v/>
      </c>
      <c r="C10" s="39">
        <f>C7-C9</f>
        <v/>
      </c>
      <c r="D10" s="39">
        <f>D7-D9</f>
        <v/>
      </c>
      <c r="E10" s="33">
        <f>SUM(B10:D10)</f>
        <v/>
      </c>
    </row>
    <row r="11">
      <c r="A11" s="35" t="inlineStr">
        <is>
          <t>equity $</t>
        </is>
      </c>
      <c r="B11" s="33">
        <f>'0_Inputs'!$E$25</f>
        <v/>
      </c>
      <c r="C11" s="33">
        <f>'0_Inputs'!$E$26</f>
        <v/>
      </c>
      <c r="D11" s="33">
        <f>'0_Inputs'!$E$27</f>
        <v/>
      </c>
      <c r="E11" s="33">
        <f>SUM(B11:D11)</f>
        <v/>
      </c>
    </row>
    <row r="12">
      <c r="A12" s="3" t="inlineStr">
        <is>
          <t>NET APR</t>
        </is>
      </c>
      <c r="B12" s="40">
        <f>B10/B11</f>
        <v/>
      </c>
      <c r="C12" s="40">
        <f>C10/C11</f>
        <v/>
      </c>
      <c r="D12" s="40">
        <f>D10/D11</f>
        <v/>
      </c>
      <c r="E12" s="41">
        <f>E10/E11</f>
        <v/>
      </c>
    </row>
    <row r="14">
      <c r="A14" s="5" t="inlineStr">
        <is>
          <t>Gtilde now READ LIVE from 1_Curve!J17 (mean of the per-strike column), not hard-coded. It rises with |k|.</t>
        </is>
      </c>
    </row>
    <row r="15">
      <c r="A15" s="45" t="inlineStr">
        <is>
          <t>NOTE: an LP concentrated in the wings faces a HIGHER Gtilde than this mean; per-LP strike mix is the next refinement.</t>
        </is>
      </c>
    </row>
    <row r="16">
      <c r="A16" s="45" t="inlineStr">
        <is>
          <t>Revenue is fee x VOLUME. Trade SIZE does not enter (integral convention). Impact is not revenue.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54" customWidth="1" min="1" max="1"/>
    <col width="18" customWidth="1" min="2" max="2"/>
    <col width="12" customWidth="1" min="3" max="3"/>
    <col width="44" customWidth="1" min="4" max="4"/>
  </cols>
  <sheetData>
    <row r="1" ht="22" customHeight="1">
      <c r="A1" s="1" t="inlineStr">
        <is>
          <t>CHECKS — every invariant of the Burr-2 loop in one place</t>
        </is>
      </c>
    </row>
    <row r="3">
      <c r="A3" s="12" t="inlineStr">
        <is>
          <t>check</t>
        </is>
      </c>
      <c r="B3" s="12" t="inlineStr">
        <is>
          <t>value</t>
        </is>
      </c>
      <c r="C3" s="12" t="inlineStr">
        <is>
          <t>want</t>
        </is>
      </c>
      <c r="D3" s="12" t="inlineStr">
        <is>
          <t>what it proves</t>
        </is>
      </c>
    </row>
    <row r="4">
      <c r="A4" s="3" t="inlineStr">
        <is>
          <t>B1  put-call parity C-P = -k (max abs error)</t>
        </is>
      </c>
      <c r="B4" s="42">
        <f>MAX(ABS('1_Curve'!H4-'1_Curve'!I4),ABS('1_Curve'!H8-'1_Curve'!I8),ABS('1_Curve'!H14-'1_Curve'!I14))</f>
        <v/>
      </c>
      <c r="C4" s="43" t="inlineStr">
        <is>
          <t>&lt;1e-9</t>
        </is>
      </c>
      <c r="D4" s="5" t="inlineStr">
        <is>
          <t>the ITM extension is exact</t>
        </is>
      </c>
    </row>
    <row r="5">
      <c r="A5" s="3" t="inlineStr">
        <is>
          <t>B2  ATM wings meet: A_call(0) = A_put(0)</t>
        </is>
      </c>
      <c r="B5" s="42">
        <f>'1_Curve'!D9-'1_Curve'!E9</f>
        <v/>
      </c>
      <c r="C5" s="43">
        <f>0</f>
        <v/>
      </c>
      <c r="D5" s="5" t="inlineStr">
        <is>
          <t>the peg qR=WL/(WR+WL) works</t>
        </is>
      </c>
    </row>
    <row r="6">
      <c r="A6" s="3" t="inlineStr">
        <is>
          <t>B3  ATM price = ATMp input</t>
        </is>
      </c>
      <c r="B6" s="42">
        <f>'1_Curve'!F9-'0_Inputs'!$B$21</f>
        <v/>
      </c>
      <c r="C6" s="43">
        <f>0</f>
        <v/>
      </c>
      <c r="D6" s="5" t="inlineStr">
        <is>
          <t>curve ties to the header</t>
        </is>
      </c>
    </row>
    <row r="7">
      <c r="A7" s="3" t="inlineStr">
        <is>
          <t>B4  qR + qL = 1</t>
        </is>
      </c>
      <c r="B7" s="42">
        <f>'0_Inputs'!$B$19+'0_Inputs'!$B$20-1</f>
        <v/>
      </c>
      <c r="C7" s="43">
        <f>0</f>
        <v/>
      </c>
      <c r="D7" s="5" t="inlineStr">
        <is>
          <t>peg normalisation</t>
        </is>
      </c>
    </row>
    <row r="8">
      <c r="A8" s="3" t="inlineStr">
        <is>
          <t>B5  apportionment shares sum to 1</t>
        </is>
      </c>
      <c r="B8" s="42">
        <f>'3_Apportion'!D9-1</f>
        <v/>
      </c>
      <c r="C8" s="43">
        <f>0</f>
        <v/>
      </c>
      <c r="D8" s="5" t="inlineStr">
        <is>
          <t>allocation is exhaustive</t>
        </is>
      </c>
    </row>
    <row r="9">
      <c r="A9" s="3" t="inlineStr">
        <is>
          <t>B6  apportionment revenue conserves</t>
        </is>
      </c>
      <c r="B9" s="42">
        <f>'3_Apportion'!F10</f>
        <v/>
      </c>
      <c r="C9" s="43" t="inlineStr">
        <is>
          <t>~0</t>
        </is>
      </c>
      <c r="D9" s="5" t="inlineStr">
        <is>
          <t>no value created/lost in the split</t>
        </is>
      </c>
    </row>
    <row r="10">
      <c r="A10" s="3" t="inlineStr">
        <is>
          <t>B7  round-trip cost &gt; 0 (irreversible)</t>
        </is>
      </c>
      <c r="B10" s="42">
        <f>'2_Quote'!H9</f>
        <v/>
      </c>
      <c r="C10" s="43" t="inlineStr">
        <is>
          <t>&gt;0</t>
        </is>
      </c>
      <c r="D10" s="5" t="inlineStr">
        <is>
          <t>impact IS revenue, not reversible slippage</t>
        </is>
      </c>
    </row>
    <row r="11">
      <c r="A11" s="3" t="inlineStr">
        <is>
          <t>B8  swap moves kappa</t>
        </is>
      </c>
      <c r="B11" s="42">
        <f>'4_Trade'!B32</f>
        <v/>
      </c>
      <c r="C11" s="43" t="inlineStr">
        <is>
          <t>&lt;&gt;0</t>
        </is>
      </c>
      <c r="D11" s="5" t="inlineStr">
        <is>
          <t>the swap changes the ONLY state it should</t>
        </is>
      </c>
    </row>
    <row r="12">
      <c r="A12" s="3" t="inlineStr">
        <is>
          <t>B9  kappa stays in (-0.95, 0.95)</t>
        </is>
      </c>
      <c r="B12" s="42">
        <f>MIN(0.95-ABS('4_Trade'!B33),1)</f>
        <v/>
      </c>
      <c r="C12" s="43" t="inlineStr">
        <is>
          <t>&gt;0</t>
        </is>
      </c>
      <c r="D12" s="5" t="inlineStr">
        <is>
          <t>clamp respected</t>
        </is>
      </c>
    </row>
    <row r="13">
      <c r="A13" s="3" t="inlineStr">
        <is>
          <t>B10 LP revenue on the swap &gt; 0</t>
        </is>
      </c>
      <c r="B13" s="42">
        <f>'4_Trade'!B29</f>
        <v/>
      </c>
      <c r="C13" s="43" t="inlineStr">
        <is>
          <t>&gt;0</t>
        </is>
      </c>
      <c r="D13" s="5" t="inlineStr">
        <is>
          <t>the pool captures on the round leg</t>
        </is>
      </c>
    </row>
    <row r="14">
      <c r="A14" s="3" t="inlineStr">
        <is>
          <t>B11 account leverage under cap</t>
        </is>
      </c>
      <c r="B14" s="42">
        <f>'0_Inputs'!$B$34-MAX('6_Perps_Account'!B12,'6_Perps_Account'!C12)</f>
        <v/>
      </c>
      <c r="C14" s="43" t="inlineStr">
        <is>
          <t>&gt;0</t>
        </is>
      </c>
      <c r="D14" s="5" t="inlineStr">
        <is>
          <t>no liquidation now</t>
        </is>
      </c>
    </row>
    <row r="15">
      <c r="A15" s="3" t="inlineStr">
        <is>
          <t>B12 margin doorway ties to portfolio</t>
        </is>
      </c>
      <c r="B15" s="42">
        <f>'7_Margin'!B7-'5_Portfolio'!E9*'0_Inputs'!$B$35*'0_Inputs'!$B$36</f>
        <v/>
      </c>
      <c r="C15" s="43">
        <f>0</f>
        <v/>
      </c>
      <c r="D15" s="5" t="inlineStr">
        <is>
          <t>units-&gt;cash is the single doorway</t>
        </is>
      </c>
    </row>
    <row r="16">
      <c r="A16" s="3" t="inlineStr">
        <is>
          <t>B13 LP net APR (viability)</t>
        </is>
      </c>
      <c r="B16" s="42">
        <f>'8_LP_Econ'!E12</f>
        <v/>
      </c>
      <c r="C16" s="43" t="inlineStr">
        <is>
          <t>&gt;0</t>
        </is>
      </c>
      <c r="D16" s="5" t="inlineStr">
        <is>
          <t>revenue beats the gamma bleed</t>
        </is>
      </c>
    </row>
    <row r="17">
      <c r="A17" s="3" t="inlineStr">
        <is>
          <t>B14 break-even avg trade size Q/N</t>
        </is>
      </c>
      <c r="B17" s="42">
        <f>('0_Inputs'!$B$37^2*0.5*5.76/('0_Inputs'!$B$38*365)-'0_Inputs'!$B$11)/(0.5*'0_Inputs'!$B$10/0.01*'0_Inputs'!$B$21/'2_Quote'!$B$9)</f>
        <v/>
      </c>
      <c r="C17" s="43" t="inlineStr">
        <is>
          <t>vs QN input</t>
        </is>
      </c>
      <c r="D17" s="5" t="inlineStr">
        <is>
          <t>THE viability lever: trade size</t>
        </is>
      </c>
    </row>
    <row r="19">
      <c r="A19" s="44" t="inlineStr">
        <is>
          <t>B14 vs the QN input on 0_Inputs is the viability test: if required Q/N &gt; actual, LPs lose money.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20" customWidth="1" min="1" max="1"/>
  </cols>
  <sheetData>
    <row r="1" ht="22" customHeight="1">
      <c r="A1" s="1" t="inlineStr">
        <is>
          <t>VIABILITY — fee x turnover (integral convention: revenue = fee x volume)</t>
        </is>
      </c>
    </row>
    <row r="3">
      <c r="A3" s="3" t="inlineStr">
        <is>
          <t>gamma bleed / yr (per unit book value)</t>
        </is>
      </c>
      <c r="B3" s="47">
        <f>0.5*'1_Curve'!$J$17*'0_Inputs'!$B$37^2</f>
        <v/>
      </c>
    </row>
    <row r="5">
      <c r="A5" s="2" t="inlineStr">
        <is>
          <t>NET (revenue - bleed), x book value/yr</t>
        </is>
      </c>
    </row>
    <row r="6">
      <c r="A6" s="3" t="inlineStr">
        <is>
          <t>fee (bps) \ turnover/day</t>
        </is>
      </c>
      <c r="B6" s="48" t="n">
        <v>0.1</v>
      </c>
      <c r="C6" s="48" t="n">
        <v>0.3</v>
      </c>
      <c r="D6" s="48" t="n">
        <v>0.5</v>
      </c>
      <c r="E6" s="48" t="n">
        <v>1</v>
      </c>
      <c r="F6" s="48" t="n">
        <v>2</v>
      </c>
      <c r="G6" s="48" t="n">
        <v>3</v>
      </c>
      <c r="H6" s="48" t="n">
        <v>5</v>
      </c>
    </row>
    <row r="7">
      <c r="A7" s="49" t="n">
        <v>10</v>
      </c>
      <c r="B7" s="18">
        <f>$A7/10000*B$6*365-$B$3</f>
        <v/>
      </c>
      <c r="C7" s="18">
        <f>$A7/10000*C$6*365-$B$3</f>
        <v/>
      </c>
      <c r="D7" s="18">
        <f>$A7/10000*D$6*365-$B$3</f>
        <v/>
      </c>
      <c r="E7" s="18">
        <f>$A7/10000*E$6*365-$B$3</f>
        <v/>
      </c>
      <c r="F7" s="18">
        <f>$A7/10000*F$6*365-$B$3</f>
        <v/>
      </c>
      <c r="G7" s="18">
        <f>$A7/10000*G$6*365-$B$3</f>
        <v/>
      </c>
      <c r="H7" s="18">
        <f>$A7/10000*H$6*365-$B$3</f>
        <v/>
      </c>
    </row>
    <row r="8">
      <c r="A8" s="49" t="n">
        <v>30</v>
      </c>
      <c r="B8" s="18">
        <f>$A8/10000*B$6*365-$B$3</f>
        <v/>
      </c>
      <c r="C8" s="18">
        <f>$A8/10000*C$6*365-$B$3</f>
        <v/>
      </c>
      <c r="D8" s="18">
        <f>$A8/10000*D$6*365-$B$3</f>
        <v/>
      </c>
      <c r="E8" s="18">
        <f>$A8/10000*E$6*365-$B$3</f>
        <v/>
      </c>
      <c r="F8" s="18">
        <f>$A8/10000*F$6*365-$B$3</f>
        <v/>
      </c>
      <c r="G8" s="18">
        <f>$A8/10000*G$6*365-$B$3</f>
        <v/>
      </c>
      <c r="H8" s="18">
        <f>$A8/10000*H$6*365-$B$3</f>
        <v/>
      </c>
    </row>
    <row r="9">
      <c r="A9" s="49" t="n">
        <v>50</v>
      </c>
      <c r="B9" s="18">
        <f>$A9/10000*B$6*365-$B$3</f>
        <v/>
      </c>
      <c r="C9" s="18">
        <f>$A9/10000*C$6*365-$B$3</f>
        <v/>
      </c>
      <c r="D9" s="18">
        <f>$A9/10000*D$6*365-$B$3</f>
        <v/>
      </c>
      <c r="E9" s="18">
        <f>$A9/10000*E$6*365-$B$3</f>
        <v/>
      </c>
      <c r="F9" s="18">
        <f>$A9/10000*F$6*365-$B$3</f>
        <v/>
      </c>
      <c r="G9" s="18">
        <f>$A9/10000*G$6*365-$B$3</f>
        <v/>
      </c>
      <c r="H9" s="18">
        <f>$A9/10000*H$6*365-$B$3</f>
        <v/>
      </c>
    </row>
    <row r="10">
      <c r="A10" s="49" t="n">
        <v>75</v>
      </c>
      <c r="B10" s="18">
        <f>$A10/10000*B$6*365-$B$3</f>
        <v/>
      </c>
      <c r="C10" s="18">
        <f>$A10/10000*C$6*365-$B$3</f>
        <v/>
      </c>
      <c r="D10" s="18">
        <f>$A10/10000*D$6*365-$B$3</f>
        <v/>
      </c>
      <c r="E10" s="18">
        <f>$A10/10000*E$6*365-$B$3</f>
        <v/>
      </c>
      <c r="F10" s="18">
        <f>$A10/10000*F$6*365-$B$3</f>
        <v/>
      </c>
      <c r="G10" s="18">
        <f>$A10/10000*G$6*365-$B$3</f>
        <v/>
      </c>
      <c r="H10" s="18">
        <f>$A10/10000*H$6*365-$B$3</f>
        <v/>
      </c>
    </row>
    <row r="11">
      <c r="A11" s="49" t="n">
        <v>100</v>
      </c>
      <c r="B11" s="18">
        <f>$A11/10000*B$6*365-$B$3</f>
        <v/>
      </c>
      <c r="C11" s="18">
        <f>$A11/10000*C$6*365-$B$3</f>
        <v/>
      </c>
      <c r="D11" s="18">
        <f>$A11/10000*D$6*365-$B$3</f>
        <v/>
      </c>
      <c r="E11" s="18">
        <f>$A11/10000*E$6*365-$B$3</f>
        <v/>
      </c>
      <c r="F11" s="18">
        <f>$A11/10000*F$6*365-$B$3</f>
        <v/>
      </c>
      <c r="G11" s="18">
        <f>$A11/10000*G$6*365-$B$3</f>
        <v/>
      </c>
      <c r="H11" s="18">
        <f>$A11/10000*H$6*365-$B$3</f>
        <v/>
      </c>
    </row>
    <row r="12">
      <c r="A12" s="49" t="n">
        <v>150</v>
      </c>
      <c r="B12" s="18">
        <f>$A12/10000*B$6*365-$B$3</f>
        <v/>
      </c>
      <c r="C12" s="18">
        <f>$A12/10000*C$6*365-$B$3</f>
        <v/>
      </c>
      <c r="D12" s="18">
        <f>$A12/10000*D$6*365-$B$3</f>
        <v/>
      </c>
      <c r="E12" s="18">
        <f>$A12/10000*E$6*365-$B$3</f>
        <v/>
      </c>
      <c r="F12" s="18">
        <f>$A12/10000*F$6*365-$B$3</f>
        <v/>
      </c>
      <c r="G12" s="18">
        <f>$A12/10000*G$6*365-$B$3</f>
        <v/>
      </c>
      <c r="H12" s="18">
        <f>$A12/10000*H$6*365-$B$3</f>
        <v/>
      </c>
    </row>
    <row r="13">
      <c r="A13" s="49" t="n">
        <v>200</v>
      </c>
      <c r="B13" s="18">
        <f>$A13/10000*B$6*365-$B$3</f>
        <v/>
      </c>
      <c r="C13" s="18">
        <f>$A13/10000*C$6*365-$B$3</f>
        <v/>
      </c>
      <c r="D13" s="18">
        <f>$A13/10000*D$6*365-$B$3</f>
        <v/>
      </c>
      <c r="E13" s="18">
        <f>$A13/10000*E$6*365-$B$3</f>
        <v/>
      </c>
      <c r="F13" s="18">
        <f>$A13/10000*F$6*365-$B$3</f>
        <v/>
      </c>
      <c r="G13" s="18">
        <f>$A13/10000*G$6*365-$B$3</f>
        <v/>
      </c>
      <c r="H13" s="18">
        <f>$A13/10000*H$6*365-$B$3</f>
        <v/>
      </c>
    </row>
    <row r="16">
      <c r="A16" s="5" t="inlineStr">
        <is>
          <t>green = LP profitable. Break-even fee at a given turnover: fee = bleed/(turnover x 365).</t>
        </is>
      </c>
    </row>
    <row r="17">
      <c r="A17" s="44" t="inlineStr">
        <is>
          <t>TODAY: 30bps at 0.3x/day = deep red. You need ~90bps at 0.3x, or ~0.9x/day at 30bps.</t>
        </is>
      </c>
    </row>
  </sheetData>
  <mergeCells count="1">
    <mergeCell ref="A1:H1"/>
  </mergeCells>
  <conditionalFormatting sqref="B7:H13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4" customWidth="1" min="1" max="1"/>
  </cols>
  <sheetData>
    <row r="1">
      <c r="A1" s="3" t="inlineStr">
        <is>
          <t>DORMANCY DIVIDER — 4 makers, one strike (edit blue)</t>
        </is>
      </c>
    </row>
    <row r="3">
      <c r="A3" s="3" t="inlineStr">
        <is>
          <t>maker</t>
        </is>
      </c>
      <c r="B3" s="3" t="inlineStr">
        <is>
          <t>capital</t>
        </is>
      </c>
      <c r="C3" s="3" t="inlineStr">
        <is>
          <t>mid quote C_i(k)</t>
        </is>
      </c>
      <c r="D3" s="3" t="inlineStr">
        <is>
          <t>ask=C*(1+h)</t>
        </is>
      </c>
      <c r="E3" s="3" t="inlineStr">
        <is>
          <t>bid=C*(1-h)</t>
        </is>
      </c>
    </row>
    <row r="4">
      <c r="A4" t="inlineStr">
        <is>
          <t>you</t>
        </is>
      </c>
      <c r="B4" s="50" t="n">
        <v>95</v>
      </c>
      <c r="C4" s="50" t="n">
        <v>0.1354</v>
      </c>
      <c r="D4">
        <f>C4*(1+$B$10/10000)</f>
        <v/>
      </c>
      <c r="E4">
        <f>C4*(1-$B$10/10000)</f>
        <v/>
      </c>
    </row>
    <row r="5">
      <c r="A5" t="inlineStr">
        <is>
          <t>a</t>
        </is>
      </c>
      <c r="B5" s="50" t="n">
        <v>38</v>
      </c>
      <c r="C5" s="50" t="n">
        <v>0.1259</v>
      </c>
      <c r="D5">
        <f>C5*(1+$B$10/10000)</f>
        <v/>
      </c>
      <c r="E5">
        <f>C5*(1-$B$10/10000)</f>
        <v/>
      </c>
    </row>
    <row r="6">
      <c r="A6" t="inlineStr">
        <is>
          <t>b</t>
        </is>
      </c>
      <c r="B6" s="50" t="n">
        <v>19</v>
      </c>
      <c r="C6" s="50" t="n">
        <v>0.142</v>
      </c>
      <c r="D6">
        <f>C6*(1+$B$10/10000)</f>
        <v/>
      </c>
      <c r="E6">
        <f>C6*(1-$B$10/10000)</f>
        <v/>
      </c>
    </row>
    <row r="7">
      <c r="A7" t="inlineStr">
        <is>
          <t>c</t>
        </is>
      </c>
      <c r="B7" s="50" t="n">
        <v>48</v>
      </c>
      <c r="C7" s="50" t="n">
        <v>0.1371</v>
      </c>
      <c r="D7">
        <f>C7*(1+$B$10/10000)</f>
        <v/>
      </c>
      <c r="E7">
        <f>C7*(1-$B$10/10000)</f>
        <v/>
      </c>
    </row>
    <row r="10">
      <c r="A10" t="inlineStr">
        <is>
          <t>half-spread h (bps)</t>
        </is>
      </c>
      <c r="B10" s="50" t="n">
        <v>19</v>
      </c>
    </row>
    <row r="12">
      <c r="A12" t="inlineStr">
        <is>
          <t>DIVIDER = capital-weighted mean of mids</t>
        </is>
      </c>
      <c r="B12">
        <f>SUMPRODUCT(B4:B7,C4:C7)/SUM(B4:B7)</f>
        <v/>
      </c>
    </row>
    <row r="13">
      <c r="A13" t="inlineStr">
        <is>
          <t>effective ASK = min ask &gt;= divider</t>
        </is>
      </c>
      <c r="B13">
        <f>MINIFS(D4:D7,D4:D7,"&gt;="&amp;B12)</f>
        <v/>
      </c>
    </row>
    <row r="14">
      <c r="A14" t="inlineStr">
        <is>
          <t>effective BID = max bid &lt;= divider</t>
        </is>
      </c>
      <c r="B14">
        <f>MAXIFS(E4:E7,E4:E7,"&lt;="&amp;B12)</f>
        <v/>
      </c>
    </row>
    <row r="15">
      <c r="A15" t="inlineStr">
        <is>
          <t>asks dormant (below divider)</t>
        </is>
      </c>
      <c r="B15">
        <f>COUNTIF(D4:D7,"&lt;"&amp;B12)</f>
        <v/>
      </c>
    </row>
    <row r="16">
      <c r="A16" t="inlineStr">
        <is>
          <t>bids dormant (above divider)</t>
        </is>
      </c>
      <c r="B16">
        <f>COUNTIF(E4:E7,"&gt;"&amp;B12)</f>
        <v/>
      </c>
    </row>
    <row r="18">
      <c r="A18" s="3" t="inlineStr">
        <is>
          <t>CHECKS</t>
        </is>
      </c>
    </row>
    <row r="19">
      <c r="A19" t="inlineStr">
        <is>
          <t>never crossed: effAsk &gt;= divider &gt;= effBid</t>
        </is>
      </c>
      <c r="B19">
        <f>IF(AND(B13&gt;=B12,B12&gt;=B14),"PASS","FAIL")</f>
        <v/>
      </c>
    </row>
    <row r="20">
      <c r="A20" t="inlineStr">
        <is>
          <t>ask side alive (dearest maker survives)</t>
        </is>
      </c>
      <c r="B20">
        <f>IF(B13&lt;&gt;"","PASS","FAIL")</f>
        <v/>
      </c>
    </row>
    <row r="21">
      <c r="A21" t="inlineStr">
        <is>
          <t>bid side alive (cheapest maker survives)</t>
        </is>
      </c>
      <c r="B21">
        <f>IF(B14&lt;&gt;"","PASS","FAIL")</f>
        <v/>
      </c>
    </row>
    <row r="22">
      <c r="A22" t="inlineStr">
        <is>
          <t>every fill at a REAL posted quote</t>
        </is>
      </c>
      <c r="B22">
        <f>IF(OR(B13=D4,B13=D5,B13=D6,B13=D7),"PASS","FAIL")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3" t="inlineStr">
        <is>
          <t>LP FROM EXPOSURE LIMITS ONLY (604/607) — no notional, no leverage input</t>
        </is>
      </c>
    </row>
    <row r="3">
      <c r="A3" t="inlineStr">
        <is>
          <t>long limit E+</t>
        </is>
      </c>
      <c r="B3" s="50" t="n">
        <v>60</v>
      </c>
    </row>
    <row r="4">
      <c r="A4" t="inlineStr">
        <is>
          <t>short limit E-</t>
        </is>
      </c>
      <c r="B4" s="50" t="n">
        <v>-40</v>
      </c>
    </row>
    <row r="5">
      <c r="A5" t="inlineStr">
        <is>
          <t>current exposure e</t>
        </is>
      </c>
      <c r="B5" s="50" t="n">
        <v>10</v>
      </c>
    </row>
    <row r="6">
      <c r="A6" t="inlineStr">
        <is>
          <t>tilt max t_max</t>
        </is>
      </c>
      <c r="B6" s="50" t="n">
        <v>0.08</v>
      </c>
    </row>
    <row r="7">
      <c r="A7" t="inlineStr">
        <is>
          <t>S-bar base (oracle)</t>
        </is>
      </c>
      <c r="B7" s="50" t="n">
        <v>0.6</v>
      </c>
    </row>
    <row r="9">
      <c r="A9" t="inlineStr">
        <is>
          <t>N_bid = max(0,E+ - e)</t>
        </is>
      </c>
      <c r="B9">
        <f>MAX(0,B3-B5)</f>
        <v/>
      </c>
    </row>
    <row r="10">
      <c r="A10" t="inlineStr">
        <is>
          <t>N_ask = max(0,e - E-)</t>
        </is>
      </c>
      <c r="B10">
        <f>MAX(0,B5-B4)</f>
        <v/>
      </c>
    </row>
    <row r="11">
      <c r="A11" t="inlineStr">
        <is>
          <t>tilt = -t_max*(e-mid)/half</t>
        </is>
      </c>
      <c r="B11">
        <f>-B6*((B5-(B3+B4)/2)/((B3-B4)/2))</f>
        <v/>
      </c>
    </row>
    <row r="12">
      <c r="A12" t="inlineStr">
        <is>
          <t>S-bar effective</t>
        </is>
      </c>
      <c r="B12">
        <f>B7*(1+B11)</f>
        <v/>
      </c>
    </row>
    <row r="14">
      <c r="A14" t="inlineStr">
        <is>
          <t>CHECK: depth split constant = E+ - E-</t>
        </is>
      </c>
      <c r="B14">
        <f>IF(ABS((B9+B10)-(B3-B4))&lt;0.000001,"PASS","FAIL")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2026-08-14T19:40:01Z</dcterms:created>
  <dcterms:modified xsi:type="dcterms:W3CDTF">2026-08-22T09:14:53Z</dcterms:modified>
</cp:coreProperties>
</file>