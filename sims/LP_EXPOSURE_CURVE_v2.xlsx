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_Exposure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4E7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LP CURVE FROM EXPOSURE LIMITS ONLY (entry 607 — no margin, no leverage, no notional input)</t>
        </is>
      </c>
    </row>
    <row r="2">
      <c r="A2" t="inlineStr">
        <is>
          <t>The LP states ONLY how long and how short it is willing to end up. Everything else derives.</t>
        </is>
      </c>
    </row>
    <row r="4">
      <c r="A4" s="1" t="inlineStr">
        <is>
          <t>INPUTS (blue = editable)</t>
        </is>
      </c>
    </row>
    <row r="5">
      <c r="A5" t="inlineStr">
        <is>
          <t>long exposure limit  E+ (BTC-perp)</t>
        </is>
      </c>
      <c r="B5" s="2" t="n">
        <v>60</v>
      </c>
    </row>
    <row r="6">
      <c r="A6" t="inlineStr">
        <is>
          <t>short exposure limit E- (BTC-perp)</t>
        </is>
      </c>
      <c r="B6" s="2" t="n">
        <v>-40</v>
      </c>
    </row>
    <row r="7">
      <c r="A7" t="inlineStr">
        <is>
          <t>current exposure e (BTC-perp)</t>
        </is>
      </c>
      <c r="B7" s="2" t="n">
        <v>10</v>
      </c>
    </row>
    <row r="8">
      <c r="A8" t="inlineStr">
        <is>
          <t>max level tilt t_max (frac of S-bar)</t>
        </is>
      </c>
      <c r="B8" s="2" t="n">
        <v>0.08</v>
      </c>
    </row>
    <row r="9">
      <c r="A9" t="inlineStr">
        <is>
          <t>S-bar base (from the oracle map)</t>
        </is>
      </c>
      <c r="B9" s="2" t="n">
        <v>0.6</v>
      </c>
    </row>
    <row r="11">
      <c r="A11" s="1" t="inlineStr">
        <is>
          <t>DERIVED</t>
        </is>
      </c>
    </row>
    <row r="12">
      <c r="A12" t="inlineStr">
        <is>
          <t>room to get LONGER   N_bid = max(0, E+ - e)</t>
        </is>
      </c>
      <c r="B12">
        <f>MAX(0,B5-B7)</f>
        <v/>
      </c>
    </row>
    <row r="13">
      <c r="A13" t="inlineStr">
        <is>
          <t>room to get SHORTER  N_ask = max(0, e - E-)</t>
        </is>
      </c>
      <c r="B13">
        <f>MAX(0,B7-B6)</f>
        <v/>
      </c>
    </row>
    <row r="14">
      <c r="A14" t="inlineStr">
        <is>
          <t>half-range H, midpoint m</t>
        </is>
      </c>
      <c r="B14">
        <f>(B5-B6)/2</f>
        <v/>
      </c>
      <c r="C14">
        <f>(B5+B6)/2</f>
        <v/>
      </c>
    </row>
    <row r="15">
      <c r="A15" t="inlineStr">
        <is>
          <t>inventory z = (e-m)/H</t>
        </is>
      </c>
      <c r="B15">
        <f>(B7-C14)/B14</f>
        <v/>
      </c>
    </row>
    <row r="16">
      <c r="A16" t="inlineStr">
        <is>
          <t>level tilt t = -t_max*z</t>
        </is>
      </c>
      <c r="B16">
        <f>-B8*B15</f>
        <v/>
      </c>
    </row>
    <row r="17">
      <c r="A17" t="inlineStr">
        <is>
          <t>effective level S-bar_eff</t>
        </is>
      </c>
      <c r="B17">
        <f>B9*(1+B16)</f>
        <v/>
      </c>
    </row>
    <row r="18">
      <c r="A18" t="inlineStr">
        <is>
          <t>margin required (INFO ONLY — venue computes it, LP does not input it)</t>
        </is>
      </c>
      <c r="B18">
        <f>MAX(B5,ABS(B6))</f>
        <v/>
      </c>
    </row>
    <row r="19">
      <c r="A19" t="inlineStr">
        <is>
          <t>NOTE: margin/leverage are the VENUE's accounting of these limits, not an LP choice. v1 had them as inputs; entry 607 removes them.</t>
        </is>
      </c>
    </row>
    <row r="21">
      <c r="A21" s="1" t="inlineStr">
        <is>
          <t>e</t>
        </is>
      </c>
      <c r="B21" s="1" t="inlineStr">
        <is>
          <t>z</t>
        </is>
      </c>
      <c r="C21" s="1" t="inlineStr">
        <is>
          <t>N_bid</t>
        </is>
      </c>
      <c r="D21" s="1" t="inlineStr">
        <is>
          <t>N_ask</t>
        </is>
      </c>
      <c r="E21" s="1" t="inlineStr">
        <is>
          <t>tilt</t>
        </is>
      </c>
      <c r="F21" s="1" t="inlineStr">
        <is>
          <t>S-bar_eff</t>
        </is>
      </c>
    </row>
    <row r="22">
      <c r="A22" t="n">
        <v>-40</v>
      </c>
      <c r="B22">
        <f>(A22-$C$14)/$B$14</f>
        <v/>
      </c>
      <c r="C22">
        <f>MAX(0,$B$5-A22)</f>
        <v/>
      </c>
      <c r="D22">
        <f>MAX(0,A22-$B$6)</f>
        <v/>
      </c>
      <c r="E22">
        <f>-$B$8*B22</f>
        <v/>
      </c>
      <c r="F22">
        <f>$B$9*(1+E22)</f>
        <v/>
      </c>
    </row>
    <row r="23">
      <c r="A23" t="n">
        <v>-25</v>
      </c>
      <c r="B23">
        <f>(A23-$C$14)/$B$14</f>
        <v/>
      </c>
      <c r="C23">
        <f>MAX(0,$B$5-A23)</f>
        <v/>
      </c>
      <c r="D23">
        <f>MAX(0,A23-$B$6)</f>
        <v/>
      </c>
      <c r="E23">
        <f>-$B$8*B23</f>
        <v/>
      </c>
      <c r="F23">
        <f>$B$9*(1+E23)</f>
        <v/>
      </c>
    </row>
    <row r="24">
      <c r="A24" t="n">
        <v>-10</v>
      </c>
      <c r="B24">
        <f>(A24-$C$14)/$B$14</f>
        <v/>
      </c>
      <c r="C24">
        <f>MAX(0,$B$5-A24)</f>
        <v/>
      </c>
      <c r="D24">
        <f>MAX(0,A24-$B$6)</f>
        <v/>
      </c>
      <c r="E24">
        <f>-$B$8*B24</f>
        <v/>
      </c>
      <c r="F24">
        <f>$B$9*(1+E24)</f>
        <v/>
      </c>
    </row>
    <row r="25">
      <c r="A25" t="n">
        <v>0</v>
      </c>
      <c r="B25">
        <f>(A25-$C$14)/$B$14</f>
        <v/>
      </c>
      <c r="C25">
        <f>MAX(0,$B$5-A25)</f>
        <v/>
      </c>
      <c r="D25">
        <f>MAX(0,A25-$B$6)</f>
        <v/>
      </c>
      <c r="E25">
        <f>-$B$8*B25</f>
        <v/>
      </c>
      <c r="F25">
        <f>$B$9*(1+E25)</f>
        <v/>
      </c>
    </row>
    <row r="26">
      <c r="A26" t="n">
        <v>10</v>
      </c>
      <c r="B26">
        <f>(A26-$C$14)/$B$14</f>
        <v/>
      </c>
      <c r="C26">
        <f>MAX(0,$B$5-A26)</f>
        <v/>
      </c>
      <c r="D26">
        <f>MAX(0,A26-$B$6)</f>
        <v/>
      </c>
      <c r="E26">
        <f>-$B$8*B26</f>
        <v/>
      </c>
      <c r="F26">
        <f>$B$9*(1+E26)</f>
        <v/>
      </c>
    </row>
    <row r="27">
      <c r="A27" t="n">
        <v>25</v>
      </c>
      <c r="B27">
        <f>(A27-$C$14)/$B$14</f>
        <v/>
      </c>
      <c r="C27">
        <f>MAX(0,$B$5-A27)</f>
        <v/>
      </c>
      <c r="D27">
        <f>MAX(0,A27-$B$6)</f>
        <v/>
      </c>
      <c r="E27">
        <f>-$B$8*B27</f>
        <v/>
      </c>
      <c r="F27">
        <f>$B$9*(1+E27)</f>
        <v/>
      </c>
    </row>
    <row r="28">
      <c r="A28" t="n">
        <v>40</v>
      </c>
      <c r="B28">
        <f>(A28-$C$14)/$B$14</f>
        <v/>
      </c>
      <c r="C28">
        <f>MAX(0,$B$5-A28)</f>
        <v/>
      </c>
      <c r="D28">
        <f>MAX(0,A28-$B$6)</f>
        <v/>
      </c>
      <c r="E28">
        <f>-$B$8*B28</f>
        <v/>
      </c>
      <c r="F28">
        <f>$B$9*(1+E28)</f>
        <v/>
      </c>
    </row>
    <row r="29">
      <c r="A29" t="n">
        <v>50</v>
      </c>
      <c r="B29">
        <f>(A29-$C$14)/$B$14</f>
        <v/>
      </c>
      <c r="C29">
        <f>MAX(0,$B$5-A29)</f>
        <v/>
      </c>
      <c r="D29">
        <f>MAX(0,A29-$B$6)</f>
        <v/>
      </c>
      <c r="E29">
        <f>-$B$8*B29</f>
        <v/>
      </c>
      <c r="F29">
        <f>$B$9*(1+E29)</f>
        <v/>
      </c>
    </row>
    <row r="30">
      <c r="A30" t="n">
        <v>60</v>
      </c>
      <c r="B30">
        <f>(A30-$C$14)/$B$14</f>
        <v/>
      </c>
      <c r="C30">
        <f>MAX(0,$B$5-A30)</f>
        <v/>
      </c>
      <c r="D30">
        <f>MAX(0,A30-$B$6)</f>
        <v/>
      </c>
      <c r="E30">
        <f>-$B$8*B30</f>
        <v/>
      </c>
      <c r="F30">
        <f>$B$9*(1+E30)</f>
        <v/>
      </c>
    </row>
    <row r="32">
      <c r="A32" s="1" t="inlineStr">
        <is>
          <t>CHECKS</t>
        </is>
      </c>
    </row>
    <row r="33">
      <c r="A33" t="inlineStr">
        <is>
          <t>bid dead at E+</t>
        </is>
      </c>
      <c r="B33">
        <f>IF(MAX(0,B5-B5)=0,"PASS","FAIL")</f>
        <v/>
      </c>
    </row>
    <row r="34">
      <c r="A34" t="inlineStr">
        <is>
          <t>ask dead at E-</t>
        </is>
      </c>
      <c r="B34">
        <f>IF(MAX(0,B6-B6)=0,"PASS","FAIL")</f>
        <v/>
      </c>
    </row>
    <row r="35">
      <c r="A35" t="inlineStr">
        <is>
          <t>depth split constant = E+ - E-</t>
        </is>
      </c>
      <c r="B35">
        <f>IF(ABS((MAX(0,B5-B7)+MAX(0,B7-B6))-(B5-B6))&lt;0.0000001,"PASS","FAIL")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2026-08-22T08:05:54Z</dcterms:created>
  <dcterms:modified xsi:type="dcterms:W3CDTF">2026-08-22T08:05:54Z</dcterms:modified>
</cp:coreProperties>
</file>