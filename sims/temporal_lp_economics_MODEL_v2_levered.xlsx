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Assumptions" sheetId="2" state="visible" r:id="rId2"/>
    <sheet name="Regime_Grid" sheetId="3" state="visible" r:id="rId3"/>
    <sheet name="Scenario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&quot; bps&quot;"/>
    <numFmt numFmtId="167" formatCode="0.0&quot;×&quot;"/>
  </numFmts>
  <fonts count="17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color rgb="00FFFFFF"/>
    </font>
    <font>
      <i val="1"/>
      <color rgb="00555555"/>
      <sz val="9"/>
    </font>
    <font>
      <name val="Calibri"/>
      <b val="1"/>
      <color rgb="00FFFFFF"/>
      <sz val="14"/>
    </font>
    <font>
      <name val="Calibri"/>
      <b val="1"/>
      <i val="1"/>
      <color rgb="002B6CB0"/>
      <sz val="10.5"/>
    </font>
    <font>
      <name val="Calibri"/>
      <b val="1"/>
      <color rgb="001A365D"/>
      <sz val="12"/>
    </font>
    <font>
      <name val="Calibri"/>
      <color rgb="002D3748"/>
      <sz val="11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color rgb="001A202C"/>
      <sz val="11"/>
    </font>
    <font>
      <name val="Calibri"/>
      <i val="1"/>
      <color rgb="004A5568"/>
      <sz val="10"/>
    </font>
    <font>
      <name val="Calibri"/>
      <b val="1"/>
      <color rgb="002B6CB0"/>
      <sz val="10.5"/>
    </font>
    <font>
      <name val="Calibri"/>
      <i val="1"/>
      <color rgb="004A5568"/>
      <sz val="10.5"/>
    </font>
    <font>
      <name val="Calibri"/>
      <b val="1"/>
      <color rgb="001A365D"/>
      <sz val="11"/>
    </font>
  </fonts>
  <fills count="8">
    <fill>
      <patternFill/>
    </fill>
    <fill>
      <patternFill patternType="gray125"/>
    </fill>
    <fill>
      <patternFill patternType="solid">
        <fgColor rgb="002B6CB0"/>
      </patternFill>
    </fill>
    <fill>
      <patternFill patternType="solid">
        <fgColor rgb="00FFF3CD"/>
      </patternFill>
    </fill>
    <fill>
      <patternFill patternType="solid">
        <fgColor rgb="00EDF2F7"/>
      </patternFill>
    </fill>
    <fill>
      <patternFill patternType="solid">
        <fgColor rgb="00E2E8F0"/>
      </patternFill>
    </fill>
    <fill>
      <patternFill patternType="solid">
        <fgColor rgb="001A365D"/>
      </patternFill>
    </fill>
    <fill>
      <patternFill patternType="solid">
        <fgColor rgb="00F7FAFC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 style="thin">
        <color rgb="00D69E2E"/>
      </left>
      <right style="thin">
        <color rgb="00D69E2E"/>
      </right>
      <top style="thin">
        <color rgb="00D69E2E"/>
      </top>
      <bottom style="thin">
        <color rgb="00D69E2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3" borderId="1" pivotButton="0" quotePrefix="0" xfId="0"/>
    <xf numFmtId="0" fontId="5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2" fontId="0" fillId="3" borderId="1" pivotButton="0" quotePrefix="0" xfId="0"/>
    <xf numFmtId="2" fontId="3" fillId="4" borderId="0" pivotButton="0" quotePrefix="0" xfId="0"/>
    <xf numFmtId="165" fontId="3" fillId="4" borderId="0" pivotButton="0" quotePrefix="0" xfId="0"/>
    <xf numFmtId="165" fontId="0" fillId="0" borderId="1" pivotButton="0" quotePrefix="0" xfId="0"/>
    <xf numFmtId="165" fontId="0" fillId="5" borderId="1" pivotButton="0" quotePrefix="0" xfId="0"/>
    <xf numFmtId="0" fontId="6" fillId="6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2" applyAlignment="1" pivotButton="0" quotePrefix="0" xfId="0">
      <alignment horizontal="left" vertical="center" indent="1"/>
    </xf>
    <xf numFmtId="0" fontId="10" fillId="2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indent="1"/>
    </xf>
    <xf numFmtId="1" fontId="12" fillId="3" borderId="3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 wrapText="1" indent="1"/>
    </xf>
    <xf numFmtId="0" fontId="11" fillId="7" borderId="2" applyAlignment="1" pivotButton="0" quotePrefix="0" xfId="0">
      <alignment horizontal="left" vertical="center" indent="1"/>
    </xf>
    <xf numFmtId="166" fontId="12" fillId="3" borderId="3" applyAlignment="1" pivotButton="0" quotePrefix="0" xfId="0">
      <alignment horizontal="right" vertical="center"/>
    </xf>
    <xf numFmtId="0" fontId="13" fillId="7" borderId="2" applyAlignment="1" pivotButton="0" quotePrefix="0" xfId="0">
      <alignment horizontal="left" vertical="center" wrapText="1" indent="1"/>
    </xf>
    <xf numFmtId="165" fontId="12" fillId="3" borderId="3" applyAlignment="1" pivotButton="0" quotePrefix="0" xfId="0">
      <alignment horizontal="right" vertical="center"/>
    </xf>
    <xf numFmtId="2" fontId="12" fillId="3" borderId="3" applyAlignment="1" pivotButton="0" quotePrefix="0" xfId="0">
      <alignment horizontal="right" vertical="center"/>
    </xf>
    <xf numFmtId="167" fontId="12" fillId="3" borderId="3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pivotButton="0" quotePrefix="0" xfId="0"/>
    <xf numFmtId="0" fontId="11" fillId="4" borderId="2" applyAlignment="1" pivotButton="0" quotePrefix="0" xfId="0">
      <alignment horizontal="left" vertical="center" indent="1"/>
    </xf>
    <xf numFmtId="2" fontId="16" fillId="4" borderId="2" applyAlignment="1" pivotButton="0" quotePrefix="0" xfId="0">
      <alignment horizontal="center" vertical="center"/>
    </xf>
    <xf numFmtId="165" fontId="11" fillId="4" borderId="2" applyAlignment="1" pivotButton="0" quotePrefix="0" xfId="0">
      <alignment horizontal="left" vertical="center" indent="1"/>
    </xf>
    <xf numFmtId="165" fontId="12" fillId="0" borderId="2" applyAlignment="1" pivotButton="0" quotePrefix="0" xfId="0">
      <alignment horizontal="right" vertical="center"/>
    </xf>
    <xf numFmtId="0" fontId="13" fillId="0" borderId="0" pivotButton="0" quotePrefix="0" xfId="0"/>
    <xf numFmtId="0" fontId="12" fillId="0" borderId="2" applyAlignment="1" pivotButton="0" quotePrefix="0" xfId="0">
      <alignment horizontal="left" vertical="center" indent="1"/>
    </xf>
    <xf numFmtId="0" fontId="12" fillId="7" borderId="2" applyAlignment="1" pivotButton="0" quotePrefix="0" xfId="0">
      <alignment horizontal="left" vertical="center" indent="1"/>
    </xf>
    <xf numFmtId="165" fontId="12" fillId="7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left" vertical="center" indent="1"/>
    </xf>
    <xf numFmtId="165" fontId="11" fillId="5" borderId="2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C6F6D5"/>
        </patternFill>
      </fill>
    </dxf>
    <dxf>
      <fill>
        <patternFill patternType="solid">
          <f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 net APR vs daily turnover (by sigma)</a:t>
            </a:r>
          </a:p>
        </rich>
      </tx>
    </title>
    <plotArea>
      <lineChart>
        <grouping val="standard"/>
        <ser>
          <idx val="0"/>
          <order val="0"/>
          <tx>
            <strRef>
              <f>'Regime_Grid'!$A$3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'Regime_Grid'!$B$2:$F$2</f>
            </numRef>
          </cat>
          <val>
            <numRef>
              <f>'Regime_Grid'!$B$3:$F$3</f>
            </numRef>
          </val>
        </ser>
        <ser>
          <idx val="1"/>
          <order val="1"/>
          <tx>
            <strRef>
              <f>'Regime_Grid'!$A$4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'Regime_Grid'!$B$2:$F$2</f>
            </numRef>
          </cat>
          <val>
            <numRef>
              <f>'Regime_Grid'!$B$4:$F$4</f>
            </numRef>
          </val>
        </ser>
        <ser>
          <idx val="2"/>
          <order val="2"/>
          <tx>
            <strRef>
              <f>'Regime_Grid'!$A$5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'Regime_Grid'!$B$2:$F$2</f>
            </numRef>
          </cat>
          <val>
            <numRef>
              <f>'Regime_Grid'!$B$5:$F$5</f>
            </numRef>
          </val>
        </ser>
        <ser>
          <idx val="3"/>
          <order val="3"/>
          <tx>
            <strRef>
              <f>'Regime_Grid'!$A$6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'Regime_Grid'!$B$2:$F$2</f>
            </numRef>
          </cat>
          <val>
            <numRef>
              <f>'Regime_Grid'!$B$6:$F$6</f>
            </numRef>
          </val>
        </ser>
        <ser>
          <idx val="4"/>
          <order val="4"/>
          <tx>
            <strRef>
              <f>'Regime_Grid'!$A$7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'Regime_Grid'!$B$2:$F$2</f>
            </numRef>
          </cat>
          <val>
            <numRef>
              <f>'Regime_Grid'!$B$7:$F$7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daily turnover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APR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8" customWidth="1" min="1" max="1"/>
  </cols>
  <sheetData>
    <row r="1" ht="26" customHeight="1">
      <c r="A1" s="14" t="inlineStr">
        <is>
          <t>Temporal LP economics — editable model (v2, +LP leverage) — BRAINSTORM / non-core</t>
        </is>
      </c>
    </row>
    <row r="2">
      <c r="A2" s="15" t="inlineStr">
        <is>
          <t>AUDITED (opus): arithmetic clean. Defaults set CONSERVATIVE (protection_factor=0) so the green grid is NOT an optimism-on headline. funding_APR &amp; protection_factor are UNPROVEN placeholders and can double-count — keep them separate.</t>
        </is>
      </c>
    </row>
    <row r="3">
      <c r="A3" s="16" t="inlineStr">
        <is>
          <t>Edit the YELLOW cells on 'Assumptions'. Everything recomputes. Open in Excel / Google Sheets / LibreOffice.</t>
        </is>
      </c>
    </row>
    <row r="4">
      <c r="A4" s="2" t="inlineStr"/>
    </row>
    <row r="5">
      <c r="A5" s="16" t="inlineStr">
        <is>
          <t>MODEL (per $ of equity, annualized):</t>
        </is>
      </c>
    </row>
    <row r="6">
      <c r="A6" s="17" t="inlineStr">
        <is>
          <t xml:space="preserve">  Temporal_net = fee_bps/10000·turnover·days + funding_APR − (sigma^2/8)·(1−protection) − drain·turnover</t>
        </is>
      </c>
    </row>
    <row r="7">
      <c r="A7" s="17" t="inlineStr">
        <is>
          <t xml:space="preserve">  Levered_Temporal = LP_leverage·Temporal_net − (LP_leverage−1)·borrow_APR   [leverage acts ONLY on the Temporal part]</t>
        </is>
      </c>
    </row>
    <row r="8">
      <c r="A8" s="17" t="inlineStr">
        <is>
          <t xml:space="preserve">  HLP_layer = HLP_base_APR·(1 − HLP_tail_haircut·sigma)   [additive, at MARGIN level, NOT levered]</t>
        </is>
      </c>
    </row>
    <row r="9">
      <c r="A9" s="17" t="inlineStr">
        <is>
          <t xml:space="preserve">  BASE (dollar margin)   net APR = Levered_Temporal</t>
        </is>
      </c>
    </row>
    <row r="10">
      <c r="A10" s="17" t="inlineStr">
        <is>
          <t xml:space="preserve">  RESTAKED (HLP margin)  net APR = Levered_Temporal + HLP_layer</t>
        </is>
      </c>
    </row>
    <row r="11">
      <c r="A11" s="2" t="inlineStr"/>
    </row>
    <row r="12">
      <c r="A12" s="16" t="inlineStr">
        <is>
          <t>HONESTY LABELS:</t>
        </is>
      </c>
    </row>
    <row r="13">
      <c r="A13" s="17" t="inlineStr">
        <is>
          <t xml:space="preserve">  - funding_APR = STAND-IN for the update-2 funding formula (undecided). protection_factor = unproven hypothesis.</t>
        </is>
      </c>
    </row>
    <row r="14">
      <c r="A14" s="17" t="inlineStr">
        <is>
          <t xml:space="preserve">  - Leverage cuts BOTH ways: if Temporal_net &lt; borrow_APR, leverage makes it WORSE. And it raises liquidation risk</t>
        </is>
      </c>
    </row>
    <row r="15">
      <c r="A15" s="17" t="inlineStr">
        <is>
          <t xml:space="preserve">    in high vol (a levered LVR loss &gt; 1/leverage of equity wipes you) — the sheet does NOT model liquidation; caveat only.</t>
        </is>
      </c>
    </row>
    <row r="16">
      <c r="A16" s="17" t="inlineStr">
        <is>
          <t xml:space="preserve">  - HLP is NOT levered (operator: additive at margin). HLP_tail_haircut&gt;0 models HLP+Temporal losing together in crashes.</t>
        </is>
      </c>
    </row>
    <row r="17">
      <c r="A17" s="17" t="inlineStr">
        <is>
          <t xml:space="preserve">  - Reduced-form sketch, NOT a validated backtest. Lives in sims/ (non-core).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62" customWidth="1" min="3" max="3"/>
  </cols>
  <sheetData>
    <row r="1" ht="26" customHeight="1">
      <c r="A1" s="14" t="inlineStr">
        <is>
          <t>EDITABLE ASSUMPTIONS</t>
        </is>
      </c>
    </row>
    <row r="3" ht="20" customHeight="1">
      <c r="A3" s="18" t="inlineStr">
        <is>
          <t>Assumption</t>
        </is>
      </c>
      <c r="B3" s="19" t="inlineStr">
        <is>
          <t>Value</t>
        </is>
      </c>
      <c r="C3" s="19" t="inlineStr">
        <is>
          <t>Disclosure / note</t>
        </is>
      </c>
    </row>
    <row r="4" ht="30" customHeight="1">
      <c r="A4" s="20" t="inlineStr">
        <is>
          <t>days_per_year</t>
        </is>
      </c>
      <c r="B4" s="21" t="n">
        <v>365</v>
      </c>
      <c r="C4" s="22" t="inlineStr">
        <is>
          <t>trading days/year</t>
        </is>
      </c>
    </row>
    <row r="5" ht="30" customHeight="1">
      <c r="A5" s="23" t="inlineStr">
        <is>
          <t>fee_bps</t>
        </is>
      </c>
      <c r="B5" s="24" t="n">
        <v>5</v>
      </c>
      <c r="C5" s="25" t="inlineStr">
        <is>
          <t>taker fee, bps of notional traded. 0 if no fee (TBD).</t>
        </is>
      </c>
    </row>
    <row r="6" ht="30" customHeight="1">
      <c r="A6" s="20" t="inlineStr">
        <is>
          <t>funding_APR</t>
        </is>
      </c>
      <c r="B6" s="26" t="n">
        <v>0.03</v>
      </c>
      <c r="C6" s="22" t="inlineStr">
        <is>
          <t>NET funding income/yr to LP (PLACEHOLDER for update-2 formula). CAN BE NEGATIVE when the LP is on the paying side of funding. The hypothesized edge vs a vanilla AMM — unproven.</t>
        </is>
      </c>
    </row>
    <row r="7" ht="30" customHeight="1">
      <c r="A7" s="23" t="inlineStr">
        <is>
          <t>protection_factor</t>
        </is>
      </c>
      <c r="B7" s="27" t="n">
        <v>0</v>
      </c>
      <c r="C7" s="25" t="inlineStr">
        <is>
          <t>WARP-only LVR reduction (0..1). DEFAULT 0 = no assumed reduction (conservative). Do NOT also attribute the funding tether here — that is funding_APR; counting both DOUBLE-COUNTS. Unproven.</t>
        </is>
      </c>
    </row>
    <row r="8" ht="30" customHeight="1">
      <c r="A8" s="20" t="inlineStr">
        <is>
          <t>drain_coeff</t>
        </is>
      </c>
      <c r="B8" s="26" t="n">
        <v>0.005</v>
      </c>
      <c r="C8" s="22" t="inlineStr">
        <is>
          <t>round-trip drain APR per 1.0 daily turnover.</t>
        </is>
      </c>
    </row>
    <row r="9" ht="30" customHeight="1">
      <c r="A9" s="23" t="inlineStr">
        <is>
          <t>HLP_base_APR</t>
        </is>
      </c>
      <c r="B9" s="26" t="n">
        <v>0.1</v>
      </c>
      <c r="C9" s="25" t="inlineStr">
        <is>
          <t>yield on HLP margin (external). NOT levered.</t>
        </is>
      </c>
    </row>
    <row r="10" ht="30" customHeight="1">
      <c r="A10" s="20" t="inlineStr">
        <is>
          <t>HLP_tail_haircut</t>
        </is>
      </c>
      <c r="B10" s="27" t="n">
        <v>0</v>
      </c>
      <c r="C10" s="22" t="inlineStr">
        <is>
          <t>0=pure additive; &gt;0 shaves HLP yield as vol rises (crash co-movement).</t>
        </is>
      </c>
    </row>
    <row r="11" ht="30" customHeight="1">
      <c r="A11" s="23" t="inlineStr">
        <is>
          <t>LP_leverage</t>
        </is>
      </c>
      <c r="B11" s="28" t="n">
        <v>2</v>
      </c>
      <c r="C11" s="25" t="inlineStr">
        <is>
          <t>leverage on the TEMPORAL position (equity ×L exposure). Does NOT apply to HLP.</t>
        </is>
      </c>
    </row>
    <row r="12" ht="30" customHeight="1">
      <c r="A12" s="20" t="inlineStr">
        <is>
          <t>borrow_APR</t>
        </is>
      </c>
      <c r="B12" s="26" t="n">
        <v>0.06</v>
      </c>
      <c r="C12" s="22" t="inlineStr">
        <is>
          <t>cost of the borrowed (L−1) leg, e.g. stablecoin borrow rate.</t>
        </is>
      </c>
    </row>
    <row r="14" ht="20" customHeight="1">
      <c r="A14" s="29" t="inlineStr">
        <is>
          <t>Grid axes (editable):</t>
        </is>
      </c>
    </row>
    <row r="15" ht="18" customHeight="1">
      <c r="A15" s="30" t="inlineStr">
        <is>
          <t>daily_turnover -&gt;</t>
        </is>
      </c>
      <c r="B15" s="27" t="n">
        <v>0.25</v>
      </c>
      <c r="C15" s="27" t="n">
        <v>0.5</v>
      </c>
      <c r="D15" s="27" t="n">
        <v>1</v>
      </c>
      <c r="E15" s="27" t="n">
        <v>2</v>
      </c>
      <c r="F15" s="27" t="n">
        <v>5</v>
      </c>
    </row>
    <row r="16" ht="18" customHeight="1">
      <c r="A16" s="30" t="inlineStr">
        <is>
          <t>sigma (annualized) -&gt;</t>
        </is>
      </c>
      <c r="B16" s="26" t="n">
        <v>0.2</v>
      </c>
      <c r="C16" s="26" t="n">
        <v>0.4</v>
      </c>
      <c r="D16" s="26" t="n">
        <v>0.6</v>
      </c>
      <c r="E16" s="26" t="n">
        <v>0.9</v>
      </c>
      <c r="F16" s="26" t="n">
        <v>1.2</v>
      </c>
    </row>
    <row r="18">
      <c r="A18" s="31" t="inlineStr">
        <is>
          <t>LEGEND:</t>
        </is>
      </c>
      <c r="B18" s="32" t="inlineStr">
        <is>
          <t>yellow fill = editable input cell</t>
        </is>
      </c>
    </row>
  </sheetData>
  <mergeCells count="2">
    <mergeCell ref="A1:C1"/>
    <mergeCell ref="A14:C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4" t="inlineStr">
        <is>
          <t>LEVERED LP (dollar margin) — net yield APR. GREEN=profit, RED=loss.</t>
        </is>
      </c>
    </row>
    <row r="2" ht="20" customHeight="1">
      <c r="A2" s="33" t="inlineStr">
        <is>
          <t>sigma \ turnover(/day)</t>
        </is>
      </c>
      <c r="B2" s="34">
        <f>Assumptions!B$15</f>
        <v/>
      </c>
      <c r="C2" s="34">
        <f>Assumptions!C$15</f>
        <v/>
      </c>
      <c r="D2" s="34">
        <f>Assumptions!D$15</f>
        <v/>
      </c>
      <c r="E2" s="34">
        <f>Assumptions!E$15</f>
        <v/>
      </c>
      <c r="F2" s="34">
        <f>Assumptions!F$15</f>
        <v/>
      </c>
    </row>
    <row r="3" ht="18" customHeight="1">
      <c r="A3" s="35">
        <f>Assumptions!B$16</f>
        <v/>
      </c>
      <c r="B3" s="36">
        <f>(Assumptions!$B$11*(Assumptions!$B$5/10000*B$2*Assumptions!$B$4+Assumptions!$B$6-(($A3^2)/8)*(1-Assumptions!$B$7)-Assumptions!$B$8*B$2)-(Assumptions!$B$11-1)*Assumptions!$B$12)</f>
        <v/>
      </c>
      <c r="C3" s="36">
        <f>(Assumptions!$B$11*(Assumptions!$B$5/10000*C$2*Assumptions!$B$4+Assumptions!$B$6-(($A3^2)/8)*(1-Assumptions!$B$7)-Assumptions!$B$8*C$2)-(Assumptions!$B$11-1)*Assumptions!$B$12)</f>
        <v/>
      </c>
      <c r="D3" s="36">
        <f>(Assumptions!$B$11*(Assumptions!$B$5/10000*D$2*Assumptions!$B$4+Assumptions!$B$6-(($A3^2)/8)*(1-Assumptions!$B$7)-Assumptions!$B$8*D$2)-(Assumptions!$B$11-1)*Assumptions!$B$12)</f>
        <v/>
      </c>
      <c r="E3" s="36">
        <f>(Assumptions!$B$11*(Assumptions!$B$5/10000*E$2*Assumptions!$B$4+Assumptions!$B$6-(($A3^2)/8)*(1-Assumptions!$B$7)-Assumptions!$B$8*E$2)-(Assumptions!$B$11-1)*Assumptions!$B$12)</f>
        <v/>
      </c>
      <c r="F3" s="36">
        <f>(Assumptions!$B$11*(Assumptions!$B$5/10000*F$2*Assumptions!$B$4+Assumptions!$B$6-(($A3^2)/8)*(1-Assumptions!$B$7)-Assumptions!$B$8*F$2)-(Assumptions!$B$11-1)*Assumptions!$B$12)</f>
        <v/>
      </c>
    </row>
    <row r="4" ht="18" customHeight="1">
      <c r="A4" s="35">
        <f>Assumptions!C$16</f>
        <v/>
      </c>
      <c r="B4" s="36">
        <f>(Assumptions!$B$11*(Assumptions!$B$5/10000*B$2*Assumptions!$B$4+Assumptions!$B$6-(($A4^2)/8)*(1-Assumptions!$B$7)-Assumptions!$B$8*B$2)-(Assumptions!$B$11-1)*Assumptions!$B$12)</f>
        <v/>
      </c>
      <c r="C4" s="36">
        <f>(Assumptions!$B$11*(Assumptions!$B$5/10000*C$2*Assumptions!$B$4+Assumptions!$B$6-(($A4^2)/8)*(1-Assumptions!$B$7)-Assumptions!$B$8*C$2)-(Assumptions!$B$11-1)*Assumptions!$B$12)</f>
        <v/>
      </c>
      <c r="D4" s="36">
        <f>(Assumptions!$B$11*(Assumptions!$B$5/10000*D$2*Assumptions!$B$4+Assumptions!$B$6-(($A4^2)/8)*(1-Assumptions!$B$7)-Assumptions!$B$8*D$2)-(Assumptions!$B$11-1)*Assumptions!$B$12)</f>
        <v/>
      </c>
      <c r="E4" s="36">
        <f>(Assumptions!$B$11*(Assumptions!$B$5/10000*E$2*Assumptions!$B$4+Assumptions!$B$6-(($A4^2)/8)*(1-Assumptions!$B$7)-Assumptions!$B$8*E$2)-(Assumptions!$B$11-1)*Assumptions!$B$12)</f>
        <v/>
      </c>
      <c r="F4" s="36">
        <f>(Assumptions!$B$11*(Assumptions!$B$5/10000*F$2*Assumptions!$B$4+Assumptions!$B$6-(($A4^2)/8)*(1-Assumptions!$B$7)-Assumptions!$B$8*F$2)-(Assumptions!$B$11-1)*Assumptions!$B$12)</f>
        <v/>
      </c>
    </row>
    <row r="5" ht="18" customHeight="1">
      <c r="A5" s="35">
        <f>Assumptions!D$16</f>
        <v/>
      </c>
      <c r="B5" s="36">
        <f>(Assumptions!$B$11*(Assumptions!$B$5/10000*B$2*Assumptions!$B$4+Assumptions!$B$6-(($A5^2)/8)*(1-Assumptions!$B$7)-Assumptions!$B$8*B$2)-(Assumptions!$B$11-1)*Assumptions!$B$12)</f>
        <v/>
      </c>
      <c r="C5" s="36">
        <f>(Assumptions!$B$11*(Assumptions!$B$5/10000*C$2*Assumptions!$B$4+Assumptions!$B$6-(($A5^2)/8)*(1-Assumptions!$B$7)-Assumptions!$B$8*C$2)-(Assumptions!$B$11-1)*Assumptions!$B$12)</f>
        <v/>
      </c>
      <c r="D5" s="36">
        <f>(Assumptions!$B$11*(Assumptions!$B$5/10000*D$2*Assumptions!$B$4+Assumptions!$B$6-(($A5^2)/8)*(1-Assumptions!$B$7)-Assumptions!$B$8*D$2)-(Assumptions!$B$11-1)*Assumptions!$B$12)</f>
        <v/>
      </c>
      <c r="E5" s="36">
        <f>(Assumptions!$B$11*(Assumptions!$B$5/10000*E$2*Assumptions!$B$4+Assumptions!$B$6-(($A5^2)/8)*(1-Assumptions!$B$7)-Assumptions!$B$8*E$2)-(Assumptions!$B$11-1)*Assumptions!$B$12)</f>
        <v/>
      </c>
      <c r="F5" s="36">
        <f>(Assumptions!$B$11*(Assumptions!$B$5/10000*F$2*Assumptions!$B$4+Assumptions!$B$6-(($A5^2)/8)*(1-Assumptions!$B$7)-Assumptions!$B$8*F$2)-(Assumptions!$B$11-1)*Assumptions!$B$12)</f>
        <v/>
      </c>
    </row>
    <row r="6" ht="18" customHeight="1">
      <c r="A6" s="35">
        <f>Assumptions!E$16</f>
        <v/>
      </c>
      <c r="B6" s="36">
        <f>(Assumptions!$B$11*(Assumptions!$B$5/10000*B$2*Assumptions!$B$4+Assumptions!$B$6-(($A6^2)/8)*(1-Assumptions!$B$7)-Assumptions!$B$8*B$2)-(Assumptions!$B$11-1)*Assumptions!$B$12)</f>
        <v/>
      </c>
      <c r="C6" s="36">
        <f>(Assumptions!$B$11*(Assumptions!$B$5/10000*C$2*Assumptions!$B$4+Assumptions!$B$6-(($A6^2)/8)*(1-Assumptions!$B$7)-Assumptions!$B$8*C$2)-(Assumptions!$B$11-1)*Assumptions!$B$12)</f>
        <v/>
      </c>
      <c r="D6" s="36">
        <f>(Assumptions!$B$11*(Assumptions!$B$5/10000*D$2*Assumptions!$B$4+Assumptions!$B$6-(($A6^2)/8)*(1-Assumptions!$B$7)-Assumptions!$B$8*D$2)-(Assumptions!$B$11-1)*Assumptions!$B$12)</f>
        <v/>
      </c>
      <c r="E6" s="36">
        <f>(Assumptions!$B$11*(Assumptions!$B$5/10000*E$2*Assumptions!$B$4+Assumptions!$B$6-(($A6^2)/8)*(1-Assumptions!$B$7)-Assumptions!$B$8*E$2)-(Assumptions!$B$11-1)*Assumptions!$B$12)</f>
        <v/>
      </c>
      <c r="F6" s="36">
        <f>(Assumptions!$B$11*(Assumptions!$B$5/10000*F$2*Assumptions!$B$4+Assumptions!$B$6-(($A6^2)/8)*(1-Assumptions!$B$7)-Assumptions!$B$8*F$2)-(Assumptions!$B$11-1)*Assumptions!$B$12)</f>
        <v/>
      </c>
    </row>
    <row r="7" ht="18" customHeight="1">
      <c r="A7" s="35">
        <f>Assumptions!F$16</f>
        <v/>
      </c>
      <c r="B7" s="36">
        <f>(Assumptions!$B$11*(Assumptions!$B$5/10000*B$2*Assumptions!$B$4+Assumptions!$B$6-(($A7^2)/8)*(1-Assumptions!$B$7)-Assumptions!$B$8*B$2)-(Assumptions!$B$11-1)*Assumptions!$B$12)</f>
        <v/>
      </c>
      <c r="C7" s="36">
        <f>(Assumptions!$B$11*(Assumptions!$B$5/10000*C$2*Assumptions!$B$4+Assumptions!$B$6-(($A7^2)/8)*(1-Assumptions!$B$7)-Assumptions!$B$8*C$2)-(Assumptions!$B$11-1)*Assumptions!$B$12)</f>
        <v/>
      </c>
      <c r="D7" s="36">
        <f>(Assumptions!$B$11*(Assumptions!$B$5/10000*D$2*Assumptions!$B$4+Assumptions!$B$6-(($A7^2)/8)*(1-Assumptions!$B$7)-Assumptions!$B$8*D$2)-(Assumptions!$B$11-1)*Assumptions!$B$12)</f>
        <v/>
      </c>
      <c r="E7" s="36">
        <f>(Assumptions!$B$11*(Assumptions!$B$5/10000*E$2*Assumptions!$B$4+Assumptions!$B$6-(($A7^2)/8)*(1-Assumptions!$B$7)-Assumptions!$B$8*E$2)-(Assumptions!$B$11-1)*Assumptions!$B$12)</f>
        <v/>
      </c>
      <c r="F7" s="36">
        <f>(Assumptions!$B$11*(Assumptions!$B$5/10000*F$2*Assumptions!$B$4+Assumptions!$B$6-(($A7^2)/8)*(1-Assumptions!$B$7)-Assumptions!$B$8*F$2)-(Assumptions!$B$11-1)*Assumptions!$B$12)</f>
        <v/>
      </c>
    </row>
    <row r="10" ht="20" customHeight="1">
      <c r="A10" s="29" t="inlineStr">
        <is>
          <t>LEVERED + RESTAKED (HLP margin) — net yield APR.</t>
        </is>
      </c>
    </row>
    <row r="11" ht="20" customHeight="1">
      <c r="A11" s="33" t="inlineStr">
        <is>
          <t>sigma \ turnover(/day)</t>
        </is>
      </c>
      <c r="B11" s="34">
        <f>Assumptions!B$15</f>
        <v/>
      </c>
      <c r="C11" s="34">
        <f>Assumptions!C$15</f>
        <v/>
      </c>
      <c r="D11" s="34">
        <f>Assumptions!D$15</f>
        <v/>
      </c>
      <c r="E11" s="34">
        <f>Assumptions!E$15</f>
        <v/>
      </c>
      <c r="F11" s="34">
        <f>Assumptions!F$15</f>
        <v/>
      </c>
    </row>
    <row r="12" ht="18" customHeight="1">
      <c r="A12" s="35">
        <f>Assumptions!B$16</f>
        <v/>
      </c>
      <c r="B12" s="36">
        <f>(Assumptions!$B$11*(Assumptions!$B$5/10000*B$11*Assumptions!$B$4+Assumptions!$B$6-(($A12^2)/8)*(1-Assumptions!$B$7)-Assumptions!$B$8*B$11)-(Assumptions!$B$11-1)*Assumptions!$B$12)+Assumptions!$B$9*(1-Assumptions!$B$10*$A12)</f>
        <v/>
      </c>
      <c r="C12" s="36">
        <f>(Assumptions!$B$11*(Assumptions!$B$5/10000*C$11*Assumptions!$B$4+Assumptions!$B$6-(($A12^2)/8)*(1-Assumptions!$B$7)-Assumptions!$B$8*C$11)-(Assumptions!$B$11-1)*Assumptions!$B$12)+Assumptions!$B$9*(1-Assumptions!$B$10*$A12)</f>
        <v/>
      </c>
      <c r="D12" s="36">
        <f>(Assumptions!$B$11*(Assumptions!$B$5/10000*D$11*Assumptions!$B$4+Assumptions!$B$6-(($A12^2)/8)*(1-Assumptions!$B$7)-Assumptions!$B$8*D$11)-(Assumptions!$B$11-1)*Assumptions!$B$12)+Assumptions!$B$9*(1-Assumptions!$B$10*$A12)</f>
        <v/>
      </c>
      <c r="E12" s="36">
        <f>(Assumptions!$B$11*(Assumptions!$B$5/10000*E$11*Assumptions!$B$4+Assumptions!$B$6-(($A12^2)/8)*(1-Assumptions!$B$7)-Assumptions!$B$8*E$11)-(Assumptions!$B$11-1)*Assumptions!$B$12)+Assumptions!$B$9*(1-Assumptions!$B$10*$A12)</f>
        <v/>
      </c>
      <c r="F12" s="36">
        <f>(Assumptions!$B$11*(Assumptions!$B$5/10000*F$11*Assumptions!$B$4+Assumptions!$B$6-(($A12^2)/8)*(1-Assumptions!$B$7)-Assumptions!$B$8*F$11)-(Assumptions!$B$11-1)*Assumptions!$B$12)+Assumptions!$B$9*(1-Assumptions!$B$10*$A12)</f>
        <v/>
      </c>
    </row>
    <row r="13" ht="18" customHeight="1">
      <c r="A13" s="35">
        <f>Assumptions!C$16</f>
        <v/>
      </c>
      <c r="B13" s="36">
        <f>(Assumptions!$B$11*(Assumptions!$B$5/10000*B$11*Assumptions!$B$4+Assumptions!$B$6-(($A13^2)/8)*(1-Assumptions!$B$7)-Assumptions!$B$8*B$11)-(Assumptions!$B$11-1)*Assumptions!$B$12)+Assumptions!$B$9*(1-Assumptions!$B$10*$A13)</f>
        <v/>
      </c>
      <c r="C13" s="36">
        <f>(Assumptions!$B$11*(Assumptions!$B$5/10000*C$11*Assumptions!$B$4+Assumptions!$B$6-(($A13^2)/8)*(1-Assumptions!$B$7)-Assumptions!$B$8*C$11)-(Assumptions!$B$11-1)*Assumptions!$B$12)+Assumptions!$B$9*(1-Assumptions!$B$10*$A13)</f>
        <v/>
      </c>
      <c r="D13" s="36">
        <f>(Assumptions!$B$11*(Assumptions!$B$5/10000*D$11*Assumptions!$B$4+Assumptions!$B$6-(($A13^2)/8)*(1-Assumptions!$B$7)-Assumptions!$B$8*D$11)-(Assumptions!$B$11-1)*Assumptions!$B$12)+Assumptions!$B$9*(1-Assumptions!$B$10*$A13)</f>
        <v/>
      </c>
      <c r="E13" s="36">
        <f>(Assumptions!$B$11*(Assumptions!$B$5/10000*E$11*Assumptions!$B$4+Assumptions!$B$6-(($A13^2)/8)*(1-Assumptions!$B$7)-Assumptions!$B$8*E$11)-(Assumptions!$B$11-1)*Assumptions!$B$12)+Assumptions!$B$9*(1-Assumptions!$B$10*$A13)</f>
        <v/>
      </c>
      <c r="F13" s="36">
        <f>(Assumptions!$B$11*(Assumptions!$B$5/10000*F$11*Assumptions!$B$4+Assumptions!$B$6-(($A13^2)/8)*(1-Assumptions!$B$7)-Assumptions!$B$8*F$11)-(Assumptions!$B$11-1)*Assumptions!$B$12)+Assumptions!$B$9*(1-Assumptions!$B$10*$A13)</f>
        <v/>
      </c>
    </row>
    <row r="14" ht="18" customHeight="1">
      <c r="A14" s="35">
        <f>Assumptions!D$16</f>
        <v/>
      </c>
      <c r="B14" s="36">
        <f>(Assumptions!$B$11*(Assumptions!$B$5/10000*B$11*Assumptions!$B$4+Assumptions!$B$6-(($A14^2)/8)*(1-Assumptions!$B$7)-Assumptions!$B$8*B$11)-(Assumptions!$B$11-1)*Assumptions!$B$12)+Assumptions!$B$9*(1-Assumptions!$B$10*$A14)</f>
        <v/>
      </c>
      <c r="C14" s="36">
        <f>(Assumptions!$B$11*(Assumptions!$B$5/10000*C$11*Assumptions!$B$4+Assumptions!$B$6-(($A14^2)/8)*(1-Assumptions!$B$7)-Assumptions!$B$8*C$11)-(Assumptions!$B$11-1)*Assumptions!$B$12)+Assumptions!$B$9*(1-Assumptions!$B$10*$A14)</f>
        <v/>
      </c>
      <c r="D14" s="36">
        <f>(Assumptions!$B$11*(Assumptions!$B$5/10000*D$11*Assumptions!$B$4+Assumptions!$B$6-(($A14^2)/8)*(1-Assumptions!$B$7)-Assumptions!$B$8*D$11)-(Assumptions!$B$11-1)*Assumptions!$B$12)+Assumptions!$B$9*(1-Assumptions!$B$10*$A14)</f>
        <v/>
      </c>
      <c r="E14" s="36">
        <f>(Assumptions!$B$11*(Assumptions!$B$5/10000*E$11*Assumptions!$B$4+Assumptions!$B$6-(($A14^2)/8)*(1-Assumptions!$B$7)-Assumptions!$B$8*E$11)-(Assumptions!$B$11-1)*Assumptions!$B$12)+Assumptions!$B$9*(1-Assumptions!$B$10*$A14)</f>
        <v/>
      </c>
      <c r="F14" s="36">
        <f>(Assumptions!$B$11*(Assumptions!$B$5/10000*F$11*Assumptions!$B$4+Assumptions!$B$6-(($A14^2)/8)*(1-Assumptions!$B$7)-Assumptions!$B$8*F$11)-(Assumptions!$B$11-1)*Assumptions!$B$12)+Assumptions!$B$9*(1-Assumptions!$B$10*$A14)</f>
        <v/>
      </c>
    </row>
    <row r="15" ht="18" customHeight="1">
      <c r="A15" s="35">
        <f>Assumptions!E$16</f>
        <v/>
      </c>
      <c r="B15" s="36">
        <f>(Assumptions!$B$11*(Assumptions!$B$5/10000*B$11*Assumptions!$B$4+Assumptions!$B$6-(($A15^2)/8)*(1-Assumptions!$B$7)-Assumptions!$B$8*B$11)-(Assumptions!$B$11-1)*Assumptions!$B$12)+Assumptions!$B$9*(1-Assumptions!$B$10*$A15)</f>
        <v/>
      </c>
      <c r="C15" s="36">
        <f>(Assumptions!$B$11*(Assumptions!$B$5/10000*C$11*Assumptions!$B$4+Assumptions!$B$6-(($A15^2)/8)*(1-Assumptions!$B$7)-Assumptions!$B$8*C$11)-(Assumptions!$B$11-1)*Assumptions!$B$12)+Assumptions!$B$9*(1-Assumptions!$B$10*$A15)</f>
        <v/>
      </c>
      <c r="D15" s="36">
        <f>(Assumptions!$B$11*(Assumptions!$B$5/10000*D$11*Assumptions!$B$4+Assumptions!$B$6-(($A15^2)/8)*(1-Assumptions!$B$7)-Assumptions!$B$8*D$11)-(Assumptions!$B$11-1)*Assumptions!$B$12)+Assumptions!$B$9*(1-Assumptions!$B$10*$A15)</f>
        <v/>
      </c>
      <c r="E15" s="36">
        <f>(Assumptions!$B$11*(Assumptions!$B$5/10000*E$11*Assumptions!$B$4+Assumptions!$B$6-(($A15^2)/8)*(1-Assumptions!$B$7)-Assumptions!$B$8*E$11)-(Assumptions!$B$11-1)*Assumptions!$B$12)+Assumptions!$B$9*(1-Assumptions!$B$10*$A15)</f>
        <v/>
      </c>
      <c r="F15" s="36">
        <f>(Assumptions!$B$11*(Assumptions!$B$5/10000*F$11*Assumptions!$B$4+Assumptions!$B$6-(($A15^2)/8)*(1-Assumptions!$B$7)-Assumptions!$B$8*F$11)-(Assumptions!$B$11-1)*Assumptions!$B$12)+Assumptions!$B$9*(1-Assumptions!$B$10*$A15)</f>
        <v/>
      </c>
    </row>
    <row r="16" ht="18" customHeight="1">
      <c r="A16" s="35">
        <f>Assumptions!F$16</f>
        <v/>
      </c>
      <c r="B16" s="36">
        <f>(Assumptions!$B$11*(Assumptions!$B$5/10000*B$11*Assumptions!$B$4+Assumptions!$B$6-(($A16^2)/8)*(1-Assumptions!$B$7)-Assumptions!$B$8*B$11)-(Assumptions!$B$11-1)*Assumptions!$B$12)+Assumptions!$B$9*(1-Assumptions!$B$10*$A16)</f>
        <v/>
      </c>
      <c r="C16" s="36">
        <f>(Assumptions!$B$11*(Assumptions!$B$5/10000*C$11*Assumptions!$B$4+Assumptions!$B$6-(($A16^2)/8)*(1-Assumptions!$B$7)-Assumptions!$B$8*C$11)-(Assumptions!$B$11-1)*Assumptions!$B$12)+Assumptions!$B$9*(1-Assumptions!$B$10*$A16)</f>
        <v/>
      </c>
      <c r="D16" s="36">
        <f>(Assumptions!$B$11*(Assumptions!$B$5/10000*D$11*Assumptions!$B$4+Assumptions!$B$6-(($A16^2)/8)*(1-Assumptions!$B$7)-Assumptions!$B$8*D$11)-(Assumptions!$B$11-1)*Assumptions!$B$12)+Assumptions!$B$9*(1-Assumptions!$B$10*$A16)</f>
        <v/>
      </c>
      <c r="E16" s="36">
        <f>(Assumptions!$B$11*(Assumptions!$B$5/10000*E$11*Assumptions!$B$4+Assumptions!$B$6-(($A16^2)/8)*(1-Assumptions!$B$7)-Assumptions!$B$8*E$11)-(Assumptions!$B$11-1)*Assumptions!$B$12)+Assumptions!$B$9*(1-Assumptions!$B$10*$A16)</f>
        <v/>
      </c>
      <c r="F16" s="36">
        <f>(Assumptions!$B$11*(Assumptions!$B$5/10000*F$11*Assumptions!$B$4+Assumptions!$B$6-(($A16^2)/8)*(1-Assumptions!$B$7)-Assumptions!$B$8*F$11)-(Assumptions!$B$11-1)*Assumptions!$B$12)+Assumptions!$B$9*(1-Assumptions!$B$10*$A16)</f>
        <v/>
      </c>
    </row>
    <row r="19" ht="16" customHeight="1">
      <c r="A19" s="37" t="inlineStr">
        <is>
          <t>Break-even = green/red boundary = LEVERED break-even (Temporal_net vs borrow_APR), not zero-Temporal; ignores opportunity cost. Defaults are CONSERVATIVE (protection=0); raise protection/funding to see the hypothesis-on case.</t>
        </is>
      </c>
    </row>
    <row r="21">
      <c r="A21" s="31" t="inlineStr">
        <is>
          <t>LEGEND:</t>
        </is>
      </c>
      <c r="B21" s="32" t="inlineStr">
        <is>
          <t>green = LP profits (net APR &gt; 0)     red = LP loses (net APR &lt; 0)     inputs are edited on the Assumptions sheet</t>
        </is>
      </c>
    </row>
  </sheetData>
  <mergeCells count="3">
    <mergeCell ref="B21:F21"/>
    <mergeCell ref="A1:F1"/>
    <mergeCell ref="A10:F10"/>
  </mergeCells>
  <conditionalFormatting sqref="B3:F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2:F16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5" customWidth="1" min="2" max="2"/>
    <col width="58" customWidth="1" min="3" max="3"/>
  </cols>
  <sheetData>
    <row r="1" ht="26" customHeight="1">
      <c r="A1" s="14" t="inlineStr">
        <is>
          <t>SINGLE-SCENARIO BREAKDOWN (edit the two yellow inputs)</t>
        </is>
      </c>
    </row>
    <row r="3" ht="18" customHeight="1">
      <c r="A3" s="20" t="inlineStr">
        <is>
          <t>daily_turnover</t>
        </is>
      </c>
      <c r="B3" s="27" t="n">
        <v>1</v>
      </c>
    </row>
    <row r="4" ht="18" customHeight="1">
      <c r="A4" s="20" t="inlineStr">
        <is>
          <t>sigma (annualized)</t>
        </is>
      </c>
      <c r="B4" s="26" t="n">
        <v>0.6</v>
      </c>
    </row>
    <row r="6" ht="18" customHeight="1">
      <c r="A6" s="38" t="inlineStr">
        <is>
          <t>Fee income</t>
        </is>
      </c>
      <c r="B6" s="36">
        <f>Assumptions!$B$5/10000*$B$3*Assumptions!$B$4</f>
        <v/>
      </c>
    </row>
    <row r="7" ht="18" customHeight="1">
      <c r="A7" s="39" t="inlineStr">
        <is>
          <t>Funding income</t>
        </is>
      </c>
      <c r="B7" s="40">
        <f>Assumptions!$B$6</f>
        <v/>
      </c>
    </row>
    <row r="8" ht="18" customHeight="1">
      <c r="A8" s="38" t="inlineStr">
        <is>
          <t>LVR cost</t>
        </is>
      </c>
      <c r="B8" s="36">
        <f>-(($B$4^2)/8)*(1-Assumptions!$B$7)</f>
        <v/>
      </c>
    </row>
    <row r="9" ht="18" customHeight="1">
      <c r="A9" s="39" t="inlineStr">
        <is>
          <t>Round-trip drain</t>
        </is>
      </c>
      <c r="B9" s="40">
        <f>-Assumptions!$B$8*$B$3</f>
        <v/>
      </c>
    </row>
    <row r="10" ht="18" customHeight="1">
      <c r="A10" s="38" t="inlineStr">
        <is>
          <t>Temporal_net (unlevered)</t>
        </is>
      </c>
      <c r="B10" s="36">
        <f>B6+B7+B8+B9</f>
        <v/>
      </c>
    </row>
    <row r="11" ht="18" customHeight="1">
      <c r="A11" s="39" t="inlineStr">
        <is>
          <t>Levered Temporal</t>
        </is>
      </c>
      <c r="B11" s="40">
        <f>Assumptions!$B$11*B10-(Assumptions!$B$11-1)*Assumptions!$B$12</f>
        <v/>
      </c>
    </row>
    <row r="12" ht="18" customHeight="1">
      <c r="A12" s="38" t="inlineStr">
        <is>
          <t>HLP layer (unlevered, margin)</t>
        </is>
      </c>
      <c r="B12" s="36">
        <f>Assumptions!$B$9*(1-Assumptions!$B$10*$B$4)</f>
        <v/>
      </c>
    </row>
    <row r="13" ht="18" customHeight="1">
      <c r="A13" s="41" t="inlineStr">
        <is>
          <t>BASE levered net (dollar margin)</t>
        </is>
      </c>
      <c r="B13" s="42">
        <f>B11</f>
        <v/>
      </c>
    </row>
    <row r="14" ht="18" customHeight="1">
      <c r="A14" s="41" t="inlineStr">
        <is>
          <t>RESTAKED levered net (HLP margin)</t>
        </is>
      </c>
      <c r="B14" s="42">
        <f>B11+B12</f>
        <v/>
      </c>
    </row>
    <row r="16">
      <c r="A16" s="31" t="inlineStr">
        <is>
          <t>LEGEND:</t>
        </is>
      </c>
      <c r="B16" s="32" t="inlineStr">
        <is>
          <t>yellow fill = editable input cell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2026-07-15T15:06:18Z</dcterms:created>
  <dcterms:modified xsi:type="dcterms:W3CDTF">2026-07-15T15:16:03Z</dcterms:modified>
</cp:coreProperties>
</file>