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Assumptions" sheetId="2" state="visible" r:id="rId2"/>
    <sheet name="Regime_Grid" sheetId="3" state="visible" r:id="rId3"/>
    <sheet name="Scenario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 bps&quot;"/>
    <numFmt numFmtId="165" formatCode="0.0%"/>
    <numFmt numFmtId="166" formatCode="0.0&quot;x&quot;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/>
    <font>
      <b val="1"/>
      <color rgb="001A365D"/>
      <sz val="13"/>
    </font>
    <font>
      <b val="1"/>
      <color rgb="00FFFFFF"/>
    </font>
    <font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B6CB0"/>
      </patternFill>
    </fill>
    <fill>
      <patternFill patternType="solid">
        <fgColor rgb="00FFF3CD"/>
      </patternFill>
    </fill>
    <fill>
      <patternFill patternType="solid">
        <fgColor rgb="00EDF2F7"/>
      </patternFill>
    </fill>
    <fill>
      <patternFill patternType="solid">
        <fgColor rgb="00E2E8F0"/>
      </patternFill>
    </fill>
  </fills>
  <borders count="3">
    <border>
      <left/>
      <right/>
      <top/>
      <bottom/>
      <diagonal/>
    </border>
    <border>
      <left style="thin">
        <color rgb="00B7791F"/>
      </left>
      <right style="thin">
        <color rgb="00B7791F"/>
      </right>
      <top style="thin">
        <color rgb="00B7791F"/>
      </top>
      <bottom style="thin">
        <color rgb="00B7791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1" fontId="0" fillId="4" borderId="1" applyAlignment="1" pivotButton="0" quotePrefix="0" xfId="0">
      <alignment horizontal="right"/>
    </xf>
    <xf numFmtId="0" fontId="6" fillId="0" borderId="0" applyAlignment="1" pivotButton="0" quotePrefix="0" xfId="0">
      <alignment vertical="top" wrapText="1"/>
    </xf>
    <xf numFmtId="16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2" fontId="0" fillId="4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0" fontId="6" fillId="0" borderId="0" pivotButton="0" quotePrefix="0" xfId="0"/>
    <xf numFmtId="2" fontId="2" fillId="5" borderId="0" applyAlignment="1" pivotButton="0" quotePrefix="0" xfId="0">
      <alignment horizontal="center"/>
    </xf>
    <xf numFmtId="165" fontId="2" fillId="5" borderId="0" pivotButton="0" quotePrefix="0" xfId="0"/>
    <xf numFmtId="165" fontId="0" fillId="0" borderId="2" applyAlignment="1" pivotButton="0" quotePrefix="0" xfId="0">
      <alignment horizontal="right"/>
    </xf>
    <xf numFmtId="2" fontId="0" fillId="4" borderId="1" pivotButton="0" quotePrefix="0" xfId="0"/>
    <xf numFmtId="165" fontId="0" fillId="4" borderId="1" pivotButton="0" quotePrefix="0" xfId="0"/>
    <xf numFmtId="165" fontId="0" fillId="6" borderId="2" applyAlignment="1" pivotButton="0" quotePrefix="0" xfId="0">
      <alignment horizontal="right"/>
    </xf>
  </cellXfs>
  <cellStyles count="1">
    <cellStyle name="Normal" xfId="0" builtinId="0" hidden="0"/>
  </cellStyles>
  <dxfs count="2">
    <dxf>
      <fill>
        <patternFill patternType="solid">
          <fgColor rgb="00C6F6D5"/>
        </patternFill>
      </fill>
    </dxf>
    <dxf>
      <fill>
        <patternFill patternType="solid">
          <fgColor rgb="00FE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BASE net APR vs turnover (one line per sigma)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'Regime_Grid'!$B$4:$F$4</f>
            </numRef>
          </cat>
          <val>
            <numRef>
              <f>'Regime_Grid'!$B$5:$F$5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'Regime_Grid'!$B$4:$F$4</f>
            </numRef>
          </cat>
          <val>
            <numRef>
              <f>'Regime_Grid'!$B$6:$F$6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'Regime_Grid'!$B$4:$F$4</f>
            </numRef>
          </cat>
          <val>
            <numRef>
              <f>'Regime_Grid'!$B$7:$F$7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'Regime_Grid'!$B$4:$F$4</f>
            </numRef>
          </cat>
          <val>
            <numRef>
              <f>'Regime_Grid'!$B$8:$F$8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'Regime_Grid'!$B$4:$F$4</f>
            </numRef>
          </cat>
          <val>
            <numRef>
              <f>'Regime_Grid'!$B$9:$F$9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turnover/day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APR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8" customWidth="1" min="1" max="1"/>
  </cols>
  <sheetData>
    <row r="1" ht="24" customHeight="1">
      <c r="A1" s="1" t="inlineStr">
        <is>
          <t>Temporal LP economics — editable model (v2.1, +LP leverage +delta-hedge) — BRAINSTORM / non-core</t>
        </is>
      </c>
    </row>
    <row r="2">
      <c r="A2" s="2" t="inlineStr">
        <is>
          <t>AUDITED (opus): arithmetic clean. Defaults are CONSERVATIVE (protection_factor=0) so the green grid is NOT an optimism-on headline.</t>
        </is>
      </c>
    </row>
    <row r="3">
      <c r="A3" s="3" t="inlineStr"/>
    </row>
    <row r="4">
      <c r="A4" s="4" t="inlineStr">
        <is>
          <t>DELTA-HEDGED LP — how this model treats it:</t>
        </is>
      </c>
    </row>
    <row r="5">
      <c r="A5" s="3" t="inlineStr">
        <is>
          <t xml:space="preserve">  The bands are delta-hedged on Hyperliquid (see the hedging schedule). This model already represents a delta-hedged LP:</t>
        </is>
      </c>
    </row>
    <row r="6">
      <c r="A6" s="3" t="inlineStr">
        <is>
          <t xml:space="preserve">   - there is NO price-direction P&amp;L term (hedging removes direction), and</t>
        </is>
      </c>
    </row>
    <row r="7">
      <c r="A7" s="3" t="inlineStr">
        <is>
          <t xml:space="preserve">   - LVR = sigma^2/8 IS, by definition, the loss that REMAINS after a perfect delta hedge (hedging removes direction, not LVR).</t>
        </is>
      </c>
    </row>
    <row r="8">
      <c r="A8" s="3" t="inlineStr">
        <is>
          <t xml:space="preserve">  Hedge assumed ~FEE-NEUTRAL (maker rebates approx taker fees) -&gt; hedge_fee_cost default 0. Edit it if the hedge has a net cost.</t>
        </is>
      </c>
    </row>
    <row r="9">
      <c r="A9" s="3" t="inlineStr">
        <is>
          <t xml:space="preserve">  Hedge-leg FUNDING (funding earned/paid on the HL hedge positions themselves) is a SEPARATE channel: hedge_funding_APR (can be +/-).</t>
        </is>
      </c>
    </row>
    <row r="10">
      <c r="A10" s="3" t="inlineStr">
        <is>
          <t xml:space="preserve">  CAVEAT (unproven): that Temporal's band-hedge schedule achieves clean delta-neutrality with LVR as the exact residual, and the</t>
        </is>
      </c>
    </row>
    <row r="11">
      <c r="A11" s="3" t="inlineStr">
        <is>
          <t xml:space="preserve">  tracking error / discrete-rebalance slippage, are modeling assumptions — not validated here.</t>
        </is>
      </c>
    </row>
    <row r="12">
      <c r="A12" s="3" t="inlineStr"/>
    </row>
    <row r="13">
      <c r="A13" s="4" t="inlineStr">
        <is>
          <t>MODEL (per $ equity, annualized):</t>
        </is>
      </c>
    </row>
    <row r="14">
      <c r="A14" s="3" t="inlineStr">
        <is>
          <t xml:space="preserve">  Temporal_net = fee_bps/10000*turnover*days + funding_APR - (sigma^2/8)*(1-protection) - drain*turnover - hedge_fee_cost + hedge_funding_APR</t>
        </is>
      </c>
    </row>
    <row r="15">
      <c r="A15" s="3" t="inlineStr">
        <is>
          <t xml:space="preserve">  Levered_Temporal = LP_leverage*Temporal_net - (LP_leverage-1)*borrow_APR      [leverage acts ONLY on the Temporal part]</t>
        </is>
      </c>
    </row>
    <row r="16">
      <c r="A16" s="3" t="inlineStr">
        <is>
          <t xml:space="preserve">  HLP_layer = HLP_base_APR*(1 - HLP_tail_haircut*sigma)                         [additive, at margin, NOT levered]</t>
        </is>
      </c>
    </row>
    <row r="17">
      <c r="A17" s="2" t="inlineStr">
        <is>
          <t xml:space="preserve">  BASE (dollar margin) net APR = Levered_Temporal ;  RESTAKED (HLP margin) = Levered_Temporal + HLP_layer</t>
        </is>
      </c>
    </row>
    <row r="18">
      <c r="A18" s="3" t="inlineStr"/>
    </row>
    <row r="19">
      <c r="A19" s="3" t="inlineStr">
        <is>
          <t>HONESTY LABELS: funding_APR (update-2 placeholder; can be NEGATIVE when LP pays funding) and protection_factor (unproven; warp-only,</t>
        </is>
      </c>
    </row>
    <row r="20">
      <c r="A20" s="3" t="inlineStr">
        <is>
          <t xml:space="preserve">  do NOT also attribute the funding tether here or it double-counts) are hypotheses. Leverage raises liquidation risk (not modeled).</t>
        </is>
      </c>
    </row>
    <row r="21">
      <c r="A21" s="3" t="inlineStr">
        <is>
          <t xml:space="preserve">  Reduced-form sketch, NOT a backtest. Lives in sims/ (non-core).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92" customWidth="1" min="3" max="3"/>
  </cols>
  <sheetData>
    <row r="1" ht="24" customHeight="1">
      <c r="A1" s="1" t="inlineStr">
        <is>
          <t>EDITABLE ASSUMPTIONS  (edit the yellow cells; everything recomputes)</t>
        </is>
      </c>
    </row>
    <row r="3">
      <c r="A3" s="5" t="inlineStr">
        <is>
          <t>Assumption</t>
        </is>
      </c>
      <c r="B3" s="5" t="inlineStr">
        <is>
          <t>Value</t>
        </is>
      </c>
      <c r="C3" s="5" t="inlineStr">
        <is>
          <t>Disclosure / note</t>
        </is>
      </c>
    </row>
    <row r="4">
      <c r="A4" s="2" t="inlineStr">
        <is>
          <t>days_per_year</t>
        </is>
      </c>
      <c r="B4" s="6" t="n">
        <v>365</v>
      </c>
      <c r="C4" s="7" t="inlineStr">
        <is>
          <t>trading days/year</t>
        </is>
      </c>
    </row>
    <row r="5">
      <c r="A5" s="2" t="inlineStr">
        <is>
          <t>fee_bps</t>
        </is>
      </c>
      <c r="B5" s="8" t="n">
        <v>5</v>
      </c>
      <c r="C5" s="7" t="inlineStr">
        <is>
          <t>taker fee, bps of notional traded. 0 if no fee (TBD).</t>
        </is>
      </c>
    </row>
    <row r="6">
      <c r="A6" s="2" t="inlineStr">
        <is>
          <t>funding_APR</t>
        </is>
      </c>
      <c r="B6" s="9" t="n">
        <v>0.03</v>
      </c>
      <c r="C6" s="7" t="inlineStr">
        <is>
          <t>NET funding income/yr to LP (PLACEHOLDER for update-2 formula). CAN BE NEGATIVE (LP on paying side). The hypothesized edge.</t>
        </is>
      </c>
    </row>
    <row r="7">
      <c r="A7" s="2" t="inlineStr">
        <is>
          <t>protection_factor</t>
        </is>
      </c>
      <c r="B7" s="10" t="n">
        <v>0</v>
      </c>
      <c r="C7" s="7" t="inlineStr">
        <is>
          <t>WARP-only LVR reduction (0..1). Default 0 = none (conservative). Do NOT also attribute the funding tether here (=funding_APR) -&gt; double-count. Unproven.</t>
        </is>
      </c>
    </row>
    <row r="8">
      <c r="A8" s="2" t="inlineStr">
        <is>
          <t>drain_coeff</t>
        </is>
      </c>
      <c r="B8" s="9" t="n">
        <v>0.005</v>
      </c>
      <c r="C8" s="7" t="inlineStr">
        <is>
          <t>round-trip drain APR per 1.0 daily turnover.</t>
        </is>
      </c>
    </row>
    <row r="9">
      <c r="A9" s="2" t="inlineStr">
        <is>
          <t>hedge_fee_cost</t>
        </is>
      </c>
      <c r="B9" s="9" t="n">
        <v>0</v>
      </c>
      <c r="C9" s="7" t="inlineStr">
        <is>
          <t>net fee cost of the delta hedge on HL, APR. ~0 under the fee-neutral assumption (maker rebates approx taker fees).</t>
        </is>
      </c>
    </row>
    <row r="10">
      <c r="A10" s="2" t="inlineStr">
        <is>
          <t>hedge_funding_APR</t>
        </is>
      </c>
      <c r="B10" s="9" t="n">
        <v>0</v>
      </c>
      <c r="C10" s="7" t="inlineStr">
        <is>
          <t>net funding earned(+)/paid(-) on the HL hedge legs themselves. Separate from LVR; either sign.</t>
        </is>
      </c>
    </row>
    <row r="11">
      <c r="A11" s="2" t="inlineStr">
        <is>
          <t>HLP_base_APR</t>
        </is>
      </c>
      <c r="B11" s="9" t="n">
        <v>0.1</v>
      </c>
      <c r="C11" s="7" t="inlineStr">
        <is>
          <t>yield on HLP margin (external). NOT levered.</t>
        </is>
      </c>
    </row>
    <row r="12">
      <c r="A12" s="2" t="inlineStr">
        <is>
          <t>HLP_tail_haircut</t>
        </is>
      </c>
      <c r="B12" s="10" t="n">
        <v>0</v>
      </c>
      <c r="C12" s="7" t="inlineStr">
        <is>
          <t>0=pure additive; &gt;0 shaves HLP yield as vol rises (crash co-movement).</t>
        </is>
      </c>
    </row>
    <row r="13">
      <c r="A13" s="2" t="inlineStr">
        <is>
          <t>LP_leverage</t>
        </is>
      </c>
      <c r="B13" s="11" t="n">
        <v>2</v>
      </c>
      <c r="C13" s="7" t="inlineStr">
        <is>
          <t>leverage on the TEMPORAL position only (equity xL). NOT applied to HLP.</t>
        </is>
      </c>
    </row>
    <row r="14">
      <c r="A14" s="2" t="inlineStr">
        <is>
          <t>borrow_APR</t>
        </is>
      </c>
      <c r="B14" s="9" t="n">
        <v>0.06</v>
      </c>
      <c r="C14" s="7" t="inlineStr">
        <is>
          <t>cost of the borrowed (L-1) leg.</t>
        </is>
      </c>
    </row>
    <row r="16">
      <c r="A16" s="2" t="inlineStr">
        <is>
          <t>Grid axes (editable):</t>
        </is>
      </c>
    </row>
    <row r="17">
      <c r="A17" s="12" t="inlineStr">
        <is>
          <t>daily_turnover -&gt;</t>
        </is>
      </c>
      <c r="B17" s="10" t="n">
        <v>0.25</v>
      </c>
      <c r="C17" s="10" t="n">
        <v>0.5</v>
      </c>
      <c r="D17" s="10" t="n">
        <v>1</v>
      </c>
      <c r="E17" s="10" t="n">
        <v>2</v>
      </c>
      <c r="F17" s="10" t="n">
        <v>5</v>
      </c>
    </row>
    <row r="18">
      <c r="A18" s="12" t="inlineStr">
        <is>
          <t>sigma (annualized) -&gt;</t>
        </is>
      </c>
      <c r="B18" s="9" t="n">
        <v>0.2</v>
      </c>
      <c r="C18" s="9" t="n">
        <v>0.4</v>
      </c>
      <c r="D18" s="9" t="n">
        <v>0.6</v>
      </c>
      <c r="E18" s="9" t="n">
        <v>0.9</v>
      </c>
      <c r="F18" s="9" t="n">
        <v>1.2</v>
      </c>
    </row>
    <row r="20">
      <c r="A20" s="12" t="inlineStr">
        <is>
          <t>Legend: yellow = editable input.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REGIME GRID — net LP yield (APR).  green = LP profits / red = LP loses.  Inputs on 'Assumptions'.</t>
        </is>
      </c>
    </row>
    <row r="3">
      <c r="A3" s="4" t="inlineStr">
        <is>
          <t>LEVERED LP (dollar margin) — net yield APR.</t>
        </is>
      </c>
    </row>
    <row r="4">
      <c r="A4" s="2" t="inlineStr">
        <is>
          <t>sigma \ turnover(/day)</t>
        </is>
      </c>
      <c r="B4" s="13">
        <f>Assumptions!B$17</f>
        <v/>
      </c>
      <c r="C4" s="13">
        <f>Assumptions!C$17</f>
        <v/>
      </c>
      <c r="D4" s="13">
        <f>Assumptions!D$17</f>
        <v/>
      </c>
      <c r="E4" s="13">
        <f>Assumptions!E$17</f>
        <v/>
      </c>
      <c r="F4" s="13">
        <f>Assumptions!F$17</f>
        <v/>
      </c>
    </row>
    <row r="5">
      <c r="A5" s="14">
        <f>Assumptions!B$18</f>
        <v/>
      </c>
      <c r="B5" s="15">
        <f>(Assumptions!$B$13*(Assumptions!$B$5/10000*B$4*Assumptions!$B$4+Assumptions!$B$6-(($A5^2)/8)*(1-Assumptions!$B$7)-Assumptions!$B$8*B$4-Assumptions!$B$9+Assumptions!$B$10)-(Assumptions!$B$13-1)*Assumptions!$B$14)</f>
        <v/>
      </c>
      <c r="C5" s="15">
        <f>(Assumptions!$B$13*(Assumptions!$B$5/10000*C$4*Assumptions!$B$4+Assumptions!$B$6-(($A5^2)/8)*(1-Assumptions!$B$7)-Assumptions!$B$8*C$4-Assumptions!$B$9+Assumptions!$B$10)-(Assumptions!$B$13-1)*Assumptions!$B$14)</f>
        <v/>
      </c>
      <c r="D5" s="15">
        <f>(Assumptions!$B$13*(Assumptions!$B$5/10000*D$4*Assumptions!$B$4+Assumptions!$B$6-(($A5^2)/8)*(1-Assumptions!$B$7)-Assumptions!$B$8*D$4-Assumptions!$B$9+Assumptions!$B$10)-(Assumptions!$B$13-1)*Assumptions!$B$14)</f>
        <v/>
      </c>
      <c r="E5" s="15">
        <f>(Assumptions!$B$13*(Assumptions!$B$5/10000*E$4*Assumptions!$B$4+Assumptions!$B$6-(($A5^2)/8)*(1-Assumptions!$B$7)-Assumptions!$B$8*E$4-Assumptions!$B$9+Assumptions!$B$10)-(Assumptions!$B$13-1)*Assumptions!$B$14)</f>
        <v/>
      </c>
      <c r="F5" s="15">
        <f>(Assumptions!$B$13*(Assumptions!$B$5/10000*F$4*Assumptions!$B$4+Assumptions!$B$6-(($A5^2)/8)*(1-Assumptions!$B$7)-Assumptions!$B$8*F$4-Assumptions!$B$9+Assumptions!$B$10)-(Assumptions!$B$13-1)*Assumptions!$B$14)</f>
        <v/>
      </c>
    </row>
    <row r="6">
      <c r="A6" s="14">
        <f>Assumptions!C$18</f>
        <v/>
      </c>
      <c r="B6" s="15">
        <f>(Assumptions!$B$13*(Assumptions!$B$5/10000*B$4*Assumptions!$B$4+Assumptions!$B$6-(($A6^2)/8)*(1-Assumptions!$B$7)-Assumptions!$B$8*B$4-Assumptions!$B$9+Assumptions!$B$10)-(Assumptions!$B$13-1)*Assumptions!$B$14)</f>
        <v/>
      </c>
      <c r="C6" s="15">
        <f>(Assumptions!$B$13*(Assumptions!$B$5/10000*C$4*Assumptions!$B$4+Assumptions!$B$6-(($A6^2)/8)*(1-Assumptions!$B$7)-Assumptions!$B$8*C$4-Assumptions!$B$9+Assumptions!$B$10)-(Assumptions!$B$13-1)*Assumptions!$B$14)</f>
        <v/>
      </c>
      <c r="D6" s="15">
        <f>(Assumptions!$B$13*(Assumptions!$B$5/10000*D$4*Assumptions!$B$4+Assumptions!$B$6-(($A6^2)/8)*(1-Assumptions!$B$7)-Assumptions!$B$8*D$4-Assumptions!$B$9+Assumptions!$B$10)-(Assumptions!$B$13-1)*Assumptions!$B$14)</f>
        <v/>
      </c>
      <c r="E6" s="15">
        <f>(Assumptions!$B$13*(Assumptions!$B$5/10000*E$4*Assumptions!$B$4+Assumptions!$B$6-(($A6^2)/8)*(1-Assumptions!$B$7)-Assumptions!$B$8*E$4-Assumptions!$B$9+Assumptions!$B$10)-(Assumptions!$B$13-1)*Assumptions!$B$14)</f>
        <v/>
      </c>
      <c r="F6" s="15">
        <f>(Assumptions!$B$13*(Assumptions!$B$5/10000*F$4*Assumptions!$B$4+Assumptions!$B$6-(($A6^2)/8)*(1-Assumptions!$B$7)-Assumptions!$B$8*F$4-Assumptions!$B$9+Assumptions!$B$10)-(Assumptions!$B$13-1)*Assumptions!$B$14)</f>
        <v/>
      </c>
    </row>
    <row r="7">
      <c r="A7" s="14">
        <f>Assumptions!D$18</f>
        <v/>
      </c>
      <c r="B7" s="15">
        <f>(Assumptions!$B$13*(Assumptions!$B$5/10000*B$4*Assumptions!$B$4+Assumptions!$B$6-(($A7^2)/8)*(1-Assumptions!$B$7)-Assumptions!$B$8*B$4-Assumptions!$B$9+Assumptions!$B$10)-(Assumptions!$B$13-1)*Assumptions!$B$14)</f>
        <v/>
      </c>
      <c r="C7" s="15">
        <f>(Assumptions!$B$13*(Assumptions!$B$5/10000*C$4*Assumptions!$B$4+Assumptions!$B$6-(($A7^2)/8)*(1-Assumptions!$B$7)-Assumptions!$B$8*C$4-Assumptions!$B$9+Assumptions!$B$10)-(Assumptions!$B$13-1)*Assumptions!$B$14)</f>
        <v/>
      </c>
      <c r="D7" s="15">
        <f>(Assumptions!$B$13*(Assumptions!$B$5/10000*D$4*Assumptions!$B$4+Assumptions!$B$6-(($A7^2)/8)*(1-Assumptions!$B$7)-Assumptions!$B$8*D$4-Assumptions!$B$9+Assumptions!$B$10)-(Assumptions!$B$13-1)*Assumptions!$B$14)</f>
        <v/>
      </c>
      <c r="E7" s="15">
        <f>(Assumptions!$B$13*(Assumptions!$B$5/10000*E$4*Assumptions!$B$4+Assumptions!$B$6-(($A7^2)/8)*(1-Assumptions!$B$7)-Assumptions!$B$8*E$4-Assumptions!$B$9+Assumptions!$B$10)-(Assumptions!$B$13-1)*Assumptions!$B$14)</f>
        <v/>
      </c>
      <c r="F7" s="15">
        <f>(Assumptions!$B$13*(Assumptions!$B$5/10000*F$4*Assumptions!$B$4+Assumptions!$B$6-(($A7^2)/8)*(1-Assumptions!$B$7)-Assumptions!$B$8*F$4-Assumptions!$B$9+Assumptions!$B$10)-(Assumptions!$B$13-1)*Assumptions!$B$14)</f>
        <v/>
      </c>
    </row>
    <row r="8">
      <c r="A8" s="14">
        <f>Assumptions!E$18</f>
        <v/>
      </c>
      <c r="B8" s="15">
        <f>(Assumptions!$B$13*(Assumptions!$B$5/10000*B$4*Assumptions!$B$4+Assumptions!$B$6-(($A8^2)/8)*(1-Assumptions!$B$7)-Assumptions!$B$8*B$4-Assumptions!$B$9+Assumptions!$B$10)-(Assumptions!$B$13-1)*Assumptions!$B$14)</f>
        <v/>
      </c>
      <c r="C8" s="15">
        <f>(Assumptions!$B$13*(Assumptions!$B$5/10000*C$4*Assumptions!$B$4+Assumptions!$B$6-(($A8^2)/8)*(1-Assumptions!$B$7)-Assumptions!$B$8*C$4-Assumptions!$B$9+Assumptions!$B$10)-(Assumptions!$B$13-1)*Assumptions!$B$14)</f>
        <v/>
      </c>
      <c r="D8" s="15">
        <f>(Assumptions!$B$13*(Assumptions!$B$5/10000*D$4*Assumptions!$B$4+Assumptions!$B$6-(($A8^2)/8)*(1-Assumptions!$B$7)-Assumptions!$B$8*D$4-Assumptions!$B$9+Assumptions!$B$10)-(Assumptions!$B$13-1)*Assumptions!$B$14)</f>
        <v/>
      </c>
      <c r="E8" s="15">
        <f>(Assumptions!$B$13*(Assumptions!$B$5/10000*E$4*Assumptions!$B$4+Assumptions!$B$6-(($A8^2)/8)*(1-Assumptions!$B$7)-Assumptions!$B$8*E$4-Assumptions!$B$9+Assumptions!$B$10)-(Assumptions!$B$13-1)*Assumptions!$B$14)</f>
        <v/>
      </c>
      <c r="F8" s="15">
        <f>(Assumptions!$B$13*(Assumptions!$B$5/10000*F$4*Assumptions!$B$4+Assumptions!$B$6-(($A8^2)/8)*(1-Assumptions!$B$7)-Assumptions!$B$8*F$4-Assumptions!$B$9+Assumptions!$B$10)-(Assumptions!$B$13-1)*Assumptions!$B$14)</f>
        <v/>
      </c>
    </row>
    <row r="9">
      <c r="A9" s="14">
        <f>Assumptions!F$18</f>
        <v/>
      </c>
      <c r="B9" s="15">
        <f>(Assumptions!$B$13*(Assumptions!$B$5/10000*B$4*Assumptions!$B$4+Assumptions!$B$6-(($A9^2)/8)*(1-Assumptions!$B$7)-Assumptions!$B$8*B$4-Assumptions!$B$9+Assumptions!$B$10)-(Assumptions!$B$13-1)*Assumptions!$B$14)</f>
        <v/>
      </c>
      <c r="C9" s="15">
        <f>(Assumptions!$B$13*(Assumptions!$B$5/10000*C$4*Assumptions!$B$4+Assumptions!$B$6-(($A9^2)/8)*(1-Assumptions!$B$7)-Assumptions!$B$8*C$4-Assumptions!$B$9+Assumptions!$B$10)-(Assumptions!$B$13-1)*Assumptions!$B$14)</f>
        <v/>
      </c>
      <c r="D9" s="15">
        <f>(Assumptions!$B$13*(Assumptions!$B$5/10000*D$4*Assumptions!$B$4+Assumptions!$B$6-(($A9^2)/8)*(1-Assumptions!$B$7)-Assumptions!$B$8*D$4-Assumptions!$B$9+Assumptions!$B$10)-(Assumptions!$B$13-1)*Assumptions!$B$14)</f>
        <v/>
      </c>
      <c r="E9" s="15">
        <f>(Assumptions!$B$13*(Assumptions!$B$5/10000*E$4*Assumptions!$B$4+Assumptions!$B$6-(($A9^2)/8)*(1-Assumptions!$B$7)-Assumptions!$B$8*E$4-Assumptions!$B$9+Assumptions!$B$10)-(Assumptions!$B$13-1)*Assumptions!$B$14)</f>
        <v/>
      </c>
      <c r="F9" s="15">
        <f>(Assumptions!$B$13*(Assumptions!$B$5/10000*F$4*Assumptions!$B$4+Assumptions!$B$6-(($A9^2)/8)*(1-Assumptions!$B$7)-Assumptions!$B$8*F$4-Assumptions!$B$9+Assumptions!$B$10)-(Assumptions!$B$13-1)*Assumptions!$B$14)</f>
        <v/>
      </c>
    </row>
    <row r="12">
      <c r="A12" s="4" t="inlineStr">
        <is>
          <t>LEVERED + RESTAKED (HLP margin) — net yield APR.</t>
        </is>
      </c>
    </row>
    <row r="13">
      <c r="A13" s="2" t="inlineStr">
        <is>
          <t>sigma \ turnover(/day)</t>
        </is>
      </c>
      <c r="B13" s="13">
        <f>Assumptions!B$17</f>
        <v/>
      </c>
      <c r="C13" s="13">
        <f>Assumptions!C$17</f>
        <v/>
      </c>
      <c r="D13" s="13">
        <f>Assumptions!D$17</f>
        <v/>
      </c>
      <c r="E13" s="13">
        <f>Assumptions!E$17</f>
        <v/>
      </c>
      <c r="F13" s="13">
        <f>Assumptions!F$17</f>
        <v/>
      </c>
    </row>
    <row r="14">
      <c r="A14" s="14">
        <f>Assumptions!B$18</f>
        <v/>
      </c>
      <c r="B14" s="15">
        <f>(Assumptions!$B$13*(Assumptions!$B$5/10000*B$13*Assumptions!$B$4+Assumptions!$B$6-(($A14^2)/8)*(1-Assumptions!$B$7)-Assumptions!$B$8*B$13-Assumptions!$B$9+Assumptions!$B$10)-(Assumptions!$B$13-1)*Assumptions!$B$14)+Assumptions!$B$11*(1-Assumptions!$B$12*$A14)</f>
        <v/>
      </c>
      <c r="C14" s="15">
        <f>(Assumptions!$B$13*(Assumptions!$B$5/10000*C$13*Assumptions!$B$4+Assumptions!$B$6-(($A14^2)/8)*(1-Assumptions!$B$7)-Assumptions!$B$8*C$13-Assumptions!$B$9+Assumptions!$B$10)-(Assumptions!$B$13-1)*Assumptions!$B$14)+Assumptions!$B$11*(1-Assumptions!$B$12*$A14)</f>
        <v/>
      </c>
      <c r="D14" s="15">
        <f>(Assumptions!$B$13*(Assumptions!$B$5/10000*D$13*Assumptions!$B$4+Assumptions!$B$6-(($A14^2)/8)*(1-Assumptions!$B$7)-Assumptions!$B$8*D$13-Assumptions!$B$9+Assumptions!$B$10)-(Assumptions!$B$13-1)*Assumptions!$B$14)+Assumptions!$B$11*(1-Assumptions!$B$12*$A14)</f>
        <v/>
      </c>
      <c r="E14" s="15">
        <f>(Assumptions!$B$13*(Assumptions!$B$5/10000*E$13*Assumptions!$B$4+Assumptions!$B$6-(($A14^2)/8)*(1-Assumptions!$B$7)-Assumptions!$B$8*E$13-Assumptions!$B$9+Assumptions!$B$10)-(Assumptions!$B$13-1)*Assumptions!$B$14)+Assumptions!$B$11*(1-Assumptions!$B$12*$A14)</f>
        <v/>
      </c>
      <c r="F14" s="15">
        <f>(Assumptions!$B$13*(Assumptions!$B$5/10000*F$13*Assumptions!$B$4+Assumptions!$B$6-(($A14^2)/8)*(1-Assumptions!$B$7)-Assumptions!$B$8*F$13-Assumptions!$B$9+Assumptions!$B$10)-(Assumptions!$B$13-1)*Assumptions!$B$14)+Assumptions!$B$11*(1-Assumptions!$B$12*$A14)</f>
        <v/>
      </c>
    </row>
    <row r="15">
      <c r="A15" s="14">
        <f>Assumptions!C$18</f>
        <v/>
      </c>
      <c r="B15" s="15">
        <f>(Assumptions!$B$13*(Assumptions!$B$5/10000*B$13*Assumptions!$B$4+Assumptions!$B$6-(($A15^2)/8)*(1-Assumptions!$B$7)-Assumptions!$B$8*B$13-Assumptions!$B$9+Assumptions!$B$10)-(Assumptions!$B$13-1)*Assumptions!$B$14)+Assumptions!$B$11*(1-Assumptions!$B$12*$A15)</f>
        <v/>
      </c>
      <c r="C15" s="15">
        <f>(Assumptions!$B$13*(Assumptions!$B$5/10000*C$13*Assumptions!$B$4+Assumptions!$B$6-(($A15^2)/8)*(1-Assumptions!$B$7)-Assumptions!$B$8*C$13-Assumptions!$B$9+Assumptions!$B$10)-(Assumptions!$B$13-1)*Assumptions!$B$14)+Assumptions!$B$11*(1-Assumptions!$B$12*$A15)</f>
        <v/>
      </c>
      <c r="D15" s="15">
        <f>(Assumptions!$B$13*(Assumptions!$B$5/10000*D$13*Assumptions!$B$4+Assumptions!$B$6-(($A15^2)/8)*(1-Assumptions!$B$7)-Assumptions!$B$8*D$13-Assumptions!$B$9+Assumptions!$B$10)-(Assumptions!$B$13-1)*Assumptions!$B$14)+Assumptions!$B$11*(1-Assumptions!$B$12*$A15)</f>
        <v/>
      </c>
      <c r="E15" s="15">
        <f>(Assumptions!$B$13*(Assumptions!$B$5/10000*E$13*Assumptions!$B$4+Assumptions!$B$6-(($A15^2)/8)*(1-Assumptions!$B$7)-Assumptions!$B$8*E$13-Assumptions!$B$9+Assumptions!$B$10)-(Assumptions!$B$13-1)*Assumptions!$B$14)+Assumptions!$B$11*(1-Assumptions!$B$12*$A15)</f>
        <v/>
      </c>
      <c r="F15" s="15">
        <f>(Assumptions!$B$13*(Assumptions!$B$5/10000*F$13*Assumptions!$B$4+Assumptions!$B$6-(($A15^2)/8)*(1-Assumptions!$B$7)-Assumptions!$B$8*F$13-Assumptions!$B$9+Assumptions!$B$10)-(Assumptions!$B$13-1)*Assumptions!$B$14)+Assumptions!$B$11*(1-Assumptions!$B$12*$A15)</f>
        <v/>
      </c>
    </row>
    <row r="16">
      <c r="A16" s="14">
        <f>Assumptions!D$18</f>
        <v/>
      </c>
      <c r="B16" s="15">
        <f>(Assumptions!$B$13*(Assumptions!$B$5/10000*B$13*Assumptions!$B$4+Assumptions!$B$6-(($A16^2)/8)*(1-Assumptions!$B$7)-Assumptions!$B$8*B$13-Assumptions!$B$9+Assumptions!$B$10)-(Assumptions!$B$13-1)*Assumptions!$B$14)+Assumptions!$B$11*(1-Assumptions!$B$12*$A16)</f>
        <v/>
      </c>
      <c r="C16" s="15">
        <f>(Assumptions!$B$13*(Assumptions!$B$5/10000*C$13*Assumptions!$B$4+Assumptions!$B$6-(($A16^2)/8)*(1-Assumptions!$B$7)-Assumptions!$B$8*C$13-Assumptions!$B$9+Assumptions!$B$10)-(Assumptions!$B$13-1)*Assumptions!$B$14)+Assumptions!$B$11*(1-Assumptions!$B$12*$A16)</f>
        <v/>
      </c>
      <c r="D16" s="15">
        <f>(Assumptions!$B$13*(Assumptions!$B$5/10000*D$13*Assumptions!$B$4+Assumptions!$B$6-(($A16^2)/8)*(1-Assumptions!$B$7)-Assumptions!$B$8*D$13-Assumptions!$B$9+Assumptions!$B$10)-(Assumptions!$B$13-1)*Assumptions!$B$14)+Assumptions!$B$11*(1-Assumptions!$B$12*$A16)</f>
        <v/>
      </c>
      <c r="E16" s="15">
        <f>(Assumptions!$B$13*(Assumptions!$B$5/10000*E$13*Assumptions!$B$4+Assumptions!$B$6-(($A16^2)/8)*(1-Assumptions!$B$7)-Assumptions!$B$8*E$13-Assumptions!$B$9+Assumptions!$B$10)-(Assumptions!$B$13-1)*Assumptions!$B$14)+Assumptions!$B$11*(1-Assumptions!$B$12*$A16)</f>
        <v/>
      </c>
      <c r="F16" s="15">
        <f>(Assumptions!$B$13*(Assumptions!$B$5/10000*F$13*Assumptions!$B$4+Assumptions!$B$6-(($A16^2)/8)*(1-Assumptions!$B$7)-Assumptions!$B$8*F$13-Assumptions!$B$9+Assumptions!$B$10)-(Assumptions!$B$13-1)*Assumptions!$B$14)+Assumptions!$B$11*(1-Assumptions!$B$12*$A16)</f>
        <v/>
      </c>
    </row>
    <row r="17">
      <c r="A17" s="14">
        <f>Assumptions!E$18</f>
        <v/>
      </c>
      <c r="B17" s="15">
        <f>(Assumptions!$B$13*(Assumptions!$B$5/10000*B$13*Assumptions!$B$4+Assumptions!$B$6-(($A17^2)/8)*(1-Assumptions!$B$7)-Assumptions!$B$8*B$13-Assumptions!$B$9+Assumptions!$B$10)-(Assumptions!$B$13-1)*Assumptions!$B$14)+Assumptions!$B$11*(1-Assumptions!$B$12*$A17)</f>
        <v/>
      </c>
      <c r="C17" s="15">
        <f>(Assumptions!$B$13*(Assumptions!$B$5/10000*C$13*Assumptions!$B$4+Assumptions!$B$6-(($A17^2)/8)*(1-Assumptions!$B$7)-Assumptions!$B$8*C$13-Assumptions!$B$9+Assumptions!$B$10)-(Assumptions!$B$13-1)*Assumptions!$B$14)+Assumptions!$B$11*(1-Assumptions!$B$12*$A17)</f>
        <v/>
      </c>
      <c r="D17" s="15">
        <f>(Assumptions!$B$13*(Assumptions!$B$5/10000*D$13*Assumptions!$B$4+Assumptions!$B$6-(($A17^2)/8)*(1-Assumptions!$B$7)-Assumptions!$B$8*D$13-Assumptions!$B$9+Assumptions!$B$10)-(Assumptions!$B$13-1)*Assumptions!$B$14)+Assumptions!$B$11*(1-Assumptions!$B$12*$A17)</f>
        <v/>
      </c>
      <c r="E17" s="15">
        <f>(Assumptions!$B$13*(Assumptions!$B$5/10000*E$13*Assumptions!$B$4+Assumptions!$B$6-(($A17^2)/8)*(1-Assumptions!$B$7)-Assumptions!$B$8*E$13-Assumptions!$B$9+Assumptions!$B$10)-(Assumptions!$B$13-1)*Assumptions!$B$14)+Assumptions!$B$11*(1-Assumptions!$B$12*$A17)</f>
        <v/>
      </c>
      <c r="F17" s="15">
        <f>(Assumptions!$B$13*(Assumptions!$B$5/10000*F$13*Assumptions!$B$4+Assumptions!$B$6-(($A17^2)/8)*(1-Assumptions!$B$7)-Assumptions!$B$8*F$13-Assumptions!$B$9+Assumptions!$B$10)-(Assumptions!$B$13-1)*Assumptions!$B$14)+Assumptions!$B$11*(1-Assumptions!$B$12*$A17)</f>
        <v/>
      </c>
    </row>
    <row r="18">
      <c r="A18" s="14">
        <f>Assumptions!F$18</f>
        <v/>
      </c>
      <c r="B18" s="15">
        <f>(Assumptions!$B$13*(Assumptions!$B$5/10000*B$13*Assumptions!$B$4+Assumptions!$B$6-(($A18^2)/8)*(1-Assumptions!$B$7)-Assumptions!$B$8*B$13-Assumptions!$B$9+Assumptions!$B$10)-(Assumptions!$B$13-1)*Assumptions!$B$14)+Assumptions!$B$11*(1-Assumptions!$B$12*$A18)</f>
        <v/>
      </c>
      <c r="C18" s="15">
        <f>(Assumptions!$B$13*(Assumptions!$B$5/10000*C$13*Assumptions!$B$4+Assumptions!$B$6-(($A18^2)/8)*(1-Assumptions!$B$7)-Assumptions!$B$8*C$13-Assumptions!$B$9+Assumptions!$B$10)-(Assumptions!$B$13-1)*Assumptions!$B$14)+Assumptions!$B$11*(1-Assumptions!$B$12*$A18)</f>
        <v/>
      </c>
      <c r="D18" s="15">
        <f>(Assumptions!$B$13*(Assumptions!$B$5/10000*D$13*Assumptions!$B$4+Assumptions!$B$6-(($A18^2)/8)*(1-Assumptions!$B$7)-Assumptions!$B$8*D$13-Assumptions!$B$9+Assumptions!$B$10)-(Assumptions!$B$13-1)*Assumptions!$B$14)+Assumptions!$B$11*(1-Assumptions!$B$12*$A18)</f>
        <v/>
      </c>
      <c r="E18" s="15">
        <f>(Assumptions!$B$13*(Assumptions!$B$5/10000*E$13*Assumptions!$B$4+Assumptions!$B$6-(($A18^2)/8)*(1-Assumptions!$B$7)-Assumptions!$B$8*E$13-Assumptions!$B$9+Assumptions!$B$10)-(Assumptions!$B$13-1)*Assumptions!$B$14)+Assumptions!$B$11*(1-Assumptions!$B$12*$A18)</f>
        <v/>
      </c>
      <c r="F18" s="15">
        <f>(Assumptions!$B$13*(Assumptions!$B$5/10000*F$13*Assumptions!$B$4+Assumptions!$B$6-(($A18^2)/8)*(1-Assumptions!$B$7)-Assumptions!$B$8*F$13-Assumptions!$B$9+Assumptions!$B$10)-(Assumptions!$B$13-1)*Assumptions!$B$14)+Assumptions!$B$11*(1-Assumptions!$B$12*$A18)</f>
        <v/>
      </c>
    </row>
    <row r="21">
      <c r="A21" s="12" t="inlineStr">
        <is>
          <t>Break-even = green/red boundary = LEVERED break-even (Temporal_net vs borrow_APR), not zero-Temporal; ignores opportunity cost. Defaults conservative (protection=0); raise protection/funding for hypothesis-on.</t>
        </is>
      </c>
    </row>
  </sheetData>
  <mergeCells count="1">
    <mergeCell ref="A1:F1"/>
  </mergeCells>
  <conditionalFormatting sqref="B5:F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4:F18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54" customWidth="1" min="3" max="3"/>
  </cols>
  <sheetData>
    <row r="1" ht="24" customHeight="1">
      <c r="A1" s="1" t="inlineStr">
        <is>
          <t>SINGLE-SCENARIO BREAKDOWN (edit the two yellow inputs)</t>
        </is>
      </c>
    </row>
    <row r="3">
      <c r="A3" s="2" t="inlineStr">
        <is>
          <t>daily_turnover</t>
        </is>
      </c>
      <c r="B3" s="16" t="n">
        <v>1</v>
      </c>
    </row>
    <row r="4">
      <c r="A4" s="2" t="inlineStr">
        <is>
          <t>sigma (annualized)</t>
        </is>
      </c>
      <c r="B4" s="17" t="n">
        <v>0.6</v>
      </c>
    </row>
    <row r="6">
      <c r="A6" s="2" t="inlineStr">
        <is>
          <t>Fee income</t>
        </is>
      </c>
      <c r="B6" s="15">
        <f>Assumptions!$B$5/10000*$B$3*Assumptions!$B$4</f>
        <v/>
      </c>
    </row>
    <row r="7">
      <c r="A7" s="2" t="inlineStr">
        <is>
          <t>Funding income</t>
        </is>
      </c>
      <c r="B7" s="15">
        <f>Assumptions!$B$6</f>
        <v/>
      </c>
    </row>
    <row r="8">
      <c r="A8" s="2" t="inlineStr">
        <is>
          <t>LVR cost</t>
        </is>
      </c>
      <c r="B8" s="15">
        <f>-(($B$4^2)/8)*(1-Assumptions!$B$7)</f>
        <v/>
      </c>
    </row>
    <row r="9">
      <c r="A9" s="2" t="inlineStr">
        <is>
          <t>Round-trip drain</t>
        </is>
      </c>
      <c r="B9" s="15">
        <f>-Assumptions!$B$8*$B$3</f>
        <v/>
      </c>
    </row>
    <row r="10">
      <c r="A10" s="2" t="inlineStr">
        <is>
          <t>Hedge fee cost</t>
        </is>
      </c>
      <c r="B10" s="15">
        <f>-Assumptions!$B$9</f>
        <v/>
      </c>
    </row>
    <row r="11">
      <c r="A11" s="2" t="inlineStr">
        <is>
          <t>Hedge-leg funding</t>
        </is>
      </c>
      <c r="B11" s="15">
        <f>Assumptions!$B$10</f>
        <v/>
      </c>
    </row>
    <row r="12">
      <c r="A12" s="2" t="inlineStr">
        <is>
          <t>Temporal_net (unlevered, delta-hedged)</t>
        </is>
      </c>
      <c r="B12" s="15">
        <f>B6+B7+B8+B9+B10+B11</f>
        <v/>
      </c>
    </row>
    <row r="13">
      <c r="A13" s="2" t="inlineStr">
        <is>
          <t>Levered Temporal</t>
        </is>
      </c>
      <c r="B13" s="15">
        <f>Assumptions!$B$13*B12-(Assumptions!$B$13-1)*Assumptions!$B$14</f>
        <v/>
      </c>
    </row>
    <row r="14">
      <c r="A14" s="2" t="inlineStr">
        <is>
          <t>HLP layer (unlevered)</t>
        </is>
      </c>
      <c r="B14" s="15">
        <f>Assumptions!$B$11*(1-Assumptions!$B$12*$B$4)</f>
        <v/>
      </c>
    </row>
    <row r="15">
      <c r="A15" s="2" t="inlineStr">
        <is>
          <t>BASE levered net (dollar margin)</t>
        </is>
      </c>
      <c r="B15" s="18">
        <f>B13</f>
        <v/>
      </c>
    </row>
    <row r="16">
      <c r="A16" s="2" t="inlineStr">
        <is>
          <t>RESTAKED levered net (HLP margin)</t>
        </is>
      </c>
      <c r="B16" s="18">
        <f>B13+B14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2026-07-15T15:57:05Z</dcterms:created>
  <dcterms:modified xsi:type="dcterms:W3CDTF">2026-07-15T15:57:05Z</dcterms:modified>
</cp:coreProperties>
</file>