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color rgb="00FFFFFF"/>
    </font>
    <font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3" borderId="1" pivotButton="0" quotePrefix="0" xfId="0"/>
    <xf numFmtId="0" fontId="5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2" fontId="0" fillId="3" borderId="1" pivotButton="0" quotePrefix="0" xfId="0"/>
    <xf numFmtId="2" fontId="3" fillId="4" borderId="0" pivotButton="0" quotePrefix="0" xfId="0"/>
    <xf numFmtId="165" fontId="3" fillId="4" borderId="0" pivotButton="0" quotePrefix="0" xfId="0"/>
    <xf numFmtId="165" fontId="0" fillId="0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Temporal LP economics — editable model (v2, +LP leverage) — BRAINSTORM / non-core</t>
        </is>
      </c>
    </row>
    <row r="2">
      <c r="A2" s="2" t="inlineStr"/>
    </row>
    <row r="3">
      <c r="A3" s="3" t="inlineStr">
        <is>
          <t>Edit the YELLOW cells on 'Assumptions'. Everything recomputes. Open in Excel / Google Sheets / LibreOffice.</t>
        </is>
      </c>
    </row>
    <row r="4">
      <c r="A4" s="2" t="inlineStr"/>
    </row>
    <row r="5">
      <c r="A5" s="3" t="inlineStr">
        <is>
          <t>MODEL (per $ of equity, annualized):</t>
        </is>
      </c>
    </row>
    <row r="6">
      <c r="A6" s="2" t="inlineStr">
        <is>
          <t xml:space="preserve">  Temporal_net = fee_bps/10000·turnover·days + funding_APR − (sigma^2/8)·(1−protection) − drain·turnover</t>
        </is>
      </c>
    </row>
    <row r="7">
      <c r="A7" s="2" t="inlineStr">
        <is>
          <t xml:space="preserve">  Levered_Temporal = LP_leverage·Temporal_net − (LP_leverage−1)·borrow_APR   [leverage acts ONLY on the Temporal part]</t>
        </is>
      </c>
    </row>
    <row r="8">
      <c r="A8" s="2" t="inlineStr">
        <is>
          <t xml:space="preserve">  HLP_layer = HLP_base_APR·(1 − HLP_tail_haircut·sigma)   [additive, at MARGIN level, NOT levered]</t>
        </is>
      </c>
    </row>
    <row r="9">
      <c r="A9" s="3" t="inlineStr">
        <is>
          <t xml:space="preserve">  BASE (dollar margin)   net APR = Levered_Temporal</t>
        </is>
      </c>
    </row>
    <row r="10">
      <c r="A10" s="3" t="inlineStr">
        <is>
          <t xml:space="preserve">  RESTAKED (HLP margin)  net APR = Levered_Temporal + HLP_layer</t>
        </is>
      </c>
    </row>
    <row r="11">
      <c r="A11" s="2" t="inlineStr"/>
    </row>
    <row r="12">
      <c r="A12" s="3" t="inlineStr">
        <is>
          <t>HONESTY LABELS:</t>
        </is>
      </c>
    </row>
    <row r="13">
      <c r="A13" s="2" t="inlineStr">
        <is>
          <t xml:space="preserve">  - funding_APR = STAND-IN for the update-2 funding formula (undecided). protection_factor = unproven hypothesis.</t>
        </is>
      </c>
    </row>
    <row r="14">
      <c r="A14" s="2" t="inlineStr">
        <is>
          <t xml:space="preserve">  - Leverage cuts BOTH ways: if Temporal_net &lt; borrow_APR, leverage makes it WORSE. And it raises liquidation risk</t>
        </is>
      </c>
    </row>
    <row r="15">
      <c r="A15" s="2" t="inlineStr">
        <is>
          <t xml:space="preserve">    in high vol (a levered LVR loss &gt; 1/leverage of equity wipes you) — the sheet does NOT model liquidation; caveat only.</t>
        </is>
      </c>
    </row>
    <row r="16">
      <c r="A16" s="2" t="inlineStr">
        <is>
          <t xml:space="preserve">  - HLP is NOT levered (operator: additive at margin). HLP_tail_haircut&gt;0 models HLP+Temporal losing together in crashes.</t>
        </is>
      </c>
    </row>
    <row r="17">
      <c r="A17" s="2" t="inlineStr">
        <is>
          <t xml:space="preserve">  - Reduced-form sketch, NOT a validated backtest. Lives in sims/ (non-core).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</cols>
  <sheetData>
    <row r="1">
      <c r="A1" s="1" t="inlineStr">
        <is>
          <t>EDITABLE ASSUMPTIONS</t>
        </is>
      </c>
    </row>
    <row r="3">
      <c r="A3" s="4" t="inlineStr">
        <is>
          <t>Assumption</t>
        </is>
      </c>
      <c r="B3" s="4" t="inlineStr">
        <is>
          <t>Value</t>
        </is>
      </c>
      <c r="C3" s="4" t="inlineStr">
        <is>
          <t>Disclosure / note</t>
        </is>
      </c>
    </row>
    <row r="4">
      <c r="A4" s="3" t="inlineStr">
        <is>
          <t>days_per_year</t>
        </is>
      </c>
      <c r="B4" s="5" t="n">
        <v>365</v>
      </c>
      <c r="C4" s="6" t="inlineStr">
        <is>
          <t>trading days/year</t>
        </is>
      </c>
    </row>
    <row r="5">
      <c r="A5" s="3" t="inlineStr">
        <is>
          <t>fee_bps</t>
        </is>
      </c>
      <c r="B5" s="7" t="n">
        <v>5</v>
      </c>
      <c r="C5" s="6" t="inlineStr">
        <is>
          <t>taker fee, bps of notional traded. 0 if no fee (TBD).</t>
        </is>
      </c>
    </row>
    <row r="6">
      <c r="A6" s="3" t="inlineStr">
        <is>
          <t>funding_APR</t>
        </is>
      </c>
      <c r="B6" s="8" t="n">
        <v>0.03</v>
      </c>
      <c r="C6" s="6" t="inlineStr">
        <is>
          <t>NET funding income/yr to LP (PLACEHOLDER for update-2 formula). Main edge vs vanilla AMM.</t>
        </is>
      </c>
    </row>
    <row r="7">
      <c r="A7" s="3" t="inlineStr">
        <is>
          <t>protection_factor</t>
        </is>
      </c>
      <c r="B7" s="9" t="n">
        <v>0.5</v>
      </c>
      <c r="C7" s="6" t="inlineStr">
        <is>
          <t>fraction of LVR removed by warp+funding tether. 0..1. HYPOTHESIS.</t>
        </is>
      </c>
    </row>
    <row r="8">
      <c r="A8" s="3" t="inlineStr">
        <is>
          <t>drain_coeff</t>
        </is>
      </c>
      <c r="B8" s="8" t="n">
        <v>0.005</v>
      </c>
      <c r="C8" s="6" t="inlineStr">
        <is>
          <t>round-trip drain APR per 1.0 daily turnover.</t>
        </is>
      </c>
    </row>
    <row r="9">
      <c r="A9" s="3" t="inlineStr">
        <is>
          <t>HLP_base_APR</t>
        </is>
      </c>
      <c r="B9" s="8" t="n">
        <v>0.1</v>
      </c>
      <c r="C9" s="6" t="inlineStr">
        <is>
          <t>yield on HLP margin (external). NOT levered.</t>
        </is>
      </c>
    </row>
    <row r="10">
      <c r="A10" s="3" t="inlineStr">
        <is>
          <t>HLP_tail_haircut</t>
        </is>
      </c>
      <c r="B10" s="9" t="n">
        <v>0</v>
      </c>
      <c r="C10" s="6" t="inlineStr">
        <is>
          <t>0=pure additive; &gt;0 shaves HLP yield as vol rises (crash co-movement).</t>
        </is>
      </c>
    </row>
    <row r="11">
      <c r="A11" s="3" t="inlineStr">
        <is>
          <t>LP_leverage</t>
        </is>
      </c>
      <c r="B11" s="7" t="n">
        <v>2</v>
      </c>
      <c r="C11" s="6" t="inlineStr">
        <is>
          <t>leverage on the TEMPORAL position (equity ×L exposure). Does NOT apply to HLP.</t>
        </is>
      </c>
    </row>
    <row r="12">
      <c r="A12" s="3" t="inlineStr">
        <is>
          <t>borrow_APR</t>
        </is>
      </c>
      <c r="B12" s="8" t="n">
        <v>0.06</v>
      </c>
      <c r="C12" s="6" t="inlineStr">
        <is>
          <t>cost of the borrowed (L−1) leg, e.g. stablecoin borrow rate.</t>
        </is>
      </c>
    </row>
    <row r="14">
      <c r="A14" s="3" t="inlineStr">
        <is>
          <t>Grid axes (editable):</t>
        </is>
      </c>
    </row>
    <row r="15">
      <c r="A15" s="6" t="inlineStr">
        <is>
          <t>daily_turnover -&gt;</t>
        </is>
      </c>
      <c r="B15" s="9" t="n">
        <v>0.25</v>
      </c>
      <c r="C15" s="9" t="n">
        <v>0.5</v>
      </c>
      <c r="D15" s="9" t="n">
        <v>1</v>
      </c>
      <c r="E15" s="9" t="n">
        <v>2</v>
      </c>
      <c r="F15" s="9" t="n">
        <v>5</v>
      </c>
    </row>
    <row r="16">
      <c r="A16" s="6" t="inlineStr">
        <is>
          <t>sigma (annualized) -&gt;</t>
        </is>
      </c>
      <c r="B16" s="8" t="n">
        <v>0.2</v>
      </c>
      <c r="C16" s="8" t="n">
        <v>0.4</v>
      </c>
      <c r="D16" s="8" t="n">
        <v>0.6</v>
      </c>
      <c r="E16" s="8" t="n">
        <v>0.9</v>
      </c>
      <c r="F16" s="8" t="n">
        <v>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LEVERED LP (dollar margin) — net yield APR. GREEN=profit, RED=loss.</t>
        </is>
      </c>
    </row>
    <row r="2">
      <c r="A2" s="3" t="inlineStr">
        <is>
          <t>sigma \ turnover(/day)</t>
        </is>
      </c>
      <c r="B2" s="10">
        <f>Assumptions!B$15</f>
        <v/>
      </c>
      <c r="C2" s="10">
        <f>Assumptions!C$15</f>
        <v/>
      </c>
      <c r="D2" s="10">
        <f>Assumptions!D$15</f>
        <v/>
      </c>
      <c r="E2" s="10">
        <f>Assumptions!E$15</f>
        <v/>
      </c>
      <c r="F2" s="10">
        <f>Assumptions!F$15</f>
        <v/>
      </c>
    </row>
    <row r="3">
      <c r="A3" s="11">
        <f>Assumptions!B$16</f>
        <v/>
      </c>
      <c r="B3" s="12">
        <f>(Assumptions!$B$11*(Assumptions!$B$5/10000*B$2*Assumptions!$B$4+Assumptions!$B$6-(($A3^2)/8)*(1-Assumptions!$B$7)-Assumptions!$B$8*B$2)-(Assumptions!$B$11-1)*Assumptions!$B$12)</f>
        <v/>
      </c>
      <c r="C3" s="12">
        <f>(Assumptions!$B$11*(Assumptions!$B$5/10000*C$2*Assumptions!$B$4+Assumptions!$B$6-(($A3^2)/8)*(1-Assumptions!$B$7)-Assumptions!$B$8*C$2)-(Assumptions!$B$11-1)*Assumptions!$B$12)</f>
        <v/>
      </c>
      <c r="D3" s="12">
        <f>(Assumptions!$B$11*(Assumptions!$B$5/10000*D$2*Assumptions!$B$4+Assumptions!$B$6-(($A3^2)/8)*(1-Assumptions!$B$7)-Assumptions!$B$8*D$2)-(Assumptions!$B$11-1)*Assumptions!$B$12)</f>
        <v/>
      </c>
      <c r="E3" s="12">
        <f>(Assumptions!$B$11*(Assumptions!$B$5/10000*E$2*Assumptions!$B$4+Assumptions!$B$6-(($A3^2)/8)*(1-Assumptions!$B$7)-Assumptions!$B$8*E$2)-(Assumptions!$B$11-1)*Assumptions!$B$12)</f>
        <v/>
      </c>
      <c r="F3" s="12">
        <f>(Assumptions!$B$11*(Assumptions!$B$5/10000*F$2*Assumptions!$B$4+Assumptions!$B$6-(($A3^2)/8)*(1-Assumptions!$B$7)-Assumptions!$B$8*F$2)-(Assumptions!$B$11-1)*Assumptions!$B$12)</f>
        <v/>
      </c>
    </row>
    <row r="4">
      <c r="A4" s="11">
        <f>Assumptions!C$16</f>
        <v/>
      </c>
      <c r="B4" s="12">
        <f>(Assumptions!$B$11*(Assumptions!$B$5/10000*B$2*Assumptions!$B$4+Assumptions!$B$6-(($A4^2)/8)*(1-Assumptions!$B$7)-Assumptions!$B$8*B$2)-(Assumptions!$B$11-1)*Assumptions!$B$12)</f>
        <v/>
      </c>
      <c r="C4" s="12">
        <f>(Assumptions!$B$11*(Assumptions!$B$5/10000*C$2*Assumptions!$B$4+Assumptions!$B$6-(($A4^2)/8)*(1-Assumptions!$B$7)-Assumptions!$B$8*C$2)-(Assumptions!$B$11-1)*Assumptions!$B$12)</f>
        <v/>
      </c>
      <c r="D4" s="12">
        <f>(Assumptions!$B$11*(Assumptions!$B$5/10000*D$2*Assumptions!$B$4+Assumptions!$B$6-(($A4^2)/8)*(1-Assumptions!$B$7)-Assumptions!$B$8*D$2)-(Assumptions!$B$11-1)*Assumptions!$B$12)</f>
        <v/>
      </c>
      <c r="E4" s="12">
        <f>(Assumptions!$B$11*(Assumptions!$B$5/10000*E$2*Assumptions!$B$4+Assumptions!$B$6-(($A4^2)/8)*(1-Assumptions!$B$7)-Assumptions!$B$8*E$2)-(Assumptions!$B$11-1)*Assumptions!$B$12)</f>
        <v/>
      </c>
      <c r="F4" s="12">
        <f>(Assumptions!$B$11*(Assumptions!$B$5/10000*F$2*Assumptions!$B$4+Assumptions!$B$6-(($A4^2)/8)*(1-Assumptions!$B$7)-Assumptions!$B$8*F$2)-(Assumptions!$B$11-1)*Assumptions!$B$12)</f>
        <v/>
      </c>
    </row>
    <row r="5">
      <c r="A5" s="11">
        <f>Assumptions!D$16</f>
        <v/>
      </c>
      <c r="B5" s="12">
        <f>(Assumptions!$B$11*(Assumptions!$B$5/10000*B$2*Assumptions!$B$4+Assumptions!$B$6-(($A5^2)/8)*(1-Assumptions!$B$7)-Assumptions!$B$8*B$2)-(Assumptions!$B$11-1)*Assumptions!$B$12)</f>
        <v/>
      </c>
      <c r="C5" s="12">
        <f>(Assumptions!$B$11*(Assumptions!$B$5/10000*C$2*Assumptions!$B$4+Assumptions!$B$6-(($A5^2)/8)*(1-Assumptions!$B$7)-Assumptions!$B$8*C$2)-(Assumptions!$B$11-1)*Assumptions!$B$12)</f>
        <v/>
      </c>
      <c r="D5" s="12">
        <f>(Assumptions!$B$11*(Assumptions!$B$5/10000*D$2*Assumptions!$B$4+Assumptions!$B$6-(($A5^2)/8)*(1-Assumptions!$B$7)-Assumptions!$B$8*D$2)-(Assumptions!$B$11-1)*Assumptions!$B$12)</f>
        <v/>
      </c>
      <c r="E5" s="12">
        <f>(Assumptions!$B$11*(Assumptions!$B$5/10000*E$2*Assumptions!$B$4+Assumptions!$B$6-(($A5^2)/8)*(1-Assumptions!$B$7)-Assumptions!$B$8*E$2)-(Assumptions!$B$11-1)*Assumptions!$B$12)</f>
        <v/>
      </c>
      <c r="F5" s="12">
        <f>(Assumptions!$B$11*(Assumptions!$B$5/10000*F$2*Assumptions!$B$4+Assumptions!$B$6-(($A5^2)/8)*(1-Assumptions!$B$7)-Assumptions!$B$8*F$2)-(Assumptions!$B$11-1)*Assumptions!$B$12)</f>
        <v/>
      </c>
    </row>
    <row r="6">
      <c r="A6" s="11">
        <f>Assumptions!E$16</f>
        <v/>
      </c>
      <c r="B6" s="12">
        <f>(Assumptions!$B$11*(Assumptions!$B$5/10000*B$2*Assumptions!$B$4+Assumptions!$B$6-(($A6^2)/8)*(1-Assumptions!$B$7)-Assumptions!$B$8*B$2)-(Assumptions!$B$11-1)*Assumptions!$B$12)</f>
        <v/>
      </c>
      <c r="C6" s="12">
        <f>(Assumptions!$B$11*(Assumptions!$B$5/10000*C$2*Assumptions!$B$4+Assumptions!$B$6-(($A6^2)/8)*(1-Assumptions!$B$7)-Assumptions!$B$8*C$2)-(Assumptions!$B$11-1)*Assumptions!$B$12)</f>
        <v/>
      </c>
      <c r="D6" s="12">
        <f>(Assumptions!$B$11*(Assumptions!$B$5/10000*D$2*Assumptions!$B$4+Assumptions!$B$6-(($A6^2)/8)*(1-Assumptions!$B$7)-Assumptions!$B$8*D$2)-(Assumptions!$B$11-1)*Assumptions!$B$12)</f>
        <v/>
      </c>
      <c r="E6" s="12">
        <f>(Assumptions!$B$11*(Assumptions!$B$5/10000*E$2*Assumptions!$B$4+Assumptions!$B$6-(($A6^2)/8)*(1-Assumptions!$B$7)-Assumptions!$B$8*E$2)-(Assumptions!$B$11-1)*Assumptions!$B$12)</f>
        <v/>
      </c>
      <c r="F6" s="12">
        <f>(Assumptions!$B$11*(Assumptions!$B$5/10000*F$2*Assumptions!$B$4+Assumptions!$B$6-(($A6^2)/8)*(1-Assumptions!$B$7)-Assumptions!$B$8*F$2)-(Assumptions!$B$11-1)*Assumptions!$B$12)</f>
        <v/>
      </c>
    </row>
    <row r="7">
      <c r="A7" s="11">
        <f>Assumptions!F$16</f>
        <v/>
      </c>
      <c r="B7" s="12">
        <f>(Assumptions!$B$11*(Assumptions!$B$5/10000*B$2*Assumptions!$B$4+Assumptions!$B$6-(($A7^2)/8)*(1-Assumptions!$B$7)-Assumptions!$B$8*B$2)-(Assumptions!$B$11-1)*Assumptions!$B$12)</f>
        <v/>
      </c>
      <c r="C7" s="12">
        <f>(Assumptions!$B$11*(Assumptions!$B$5/10000*C$2*Assumptions!$B$4+Assumptions!$B$6-(($A7^2)/8)*(1-Assumptions!$B$7)-Assumptions!$B$8*C$2)-(Assumptions!$B$11-1)*Assumptions!$B$12)</f>
        <v/>
      </c>
      <c r="D7" s="12">
        <f>(Assumptions!$B$11*(Assumptions!$B$5/10000*D$2*Assumptions!$B$4+Assumptions!$B$6-(($A7^2)/8)*(1-Assumptions!$B$7)-Assumptions!$B$8*D$2)-(Assumptions!$B$11-1)*Assumptions!$B$12)</f>
        <v/>
      </c>
      <c r="E7" s="12">
        <f>(Assumptions!$B$11*(Assumptions!$B$5/10000*E$2*Assumptions!$B$4+Assumptions!$B$6-(($A7^2)/8)*(1-Assumptions!$B$7)-Assumptions!$B$8*E$2)-(Assumptions!$B$11-1)*Assumptions!$B$12)</f>
        <v/>
      </c>
      <c r="F7" s="12">
        <f>(Assumptions!$B$11*(Assumptions!$B$5/10000*F$2*Assumptions!$B$4+Assumptions!$B$6-(($A7^2)/8)*(1-Assumptions!$B$7)-Assumptions!$B$8*F$2)-(Assumptions!$B$11-1)*Assumptions!$B$12)</f>
        <v/>
      </c>
    </row>
    <row r="10">
      <c r="A10" s="1" t="inlineStr">
        <is>
          <t>LEVERED + RESTAKED (HLP margin) — net yield APR.</t>
        </is>
      </c>
    </row>
    <row r="11">
      <c r="A11" s="3" t="inlineStr">
        <is>
          <t>sigma \ turnover(/day)</t>
        </is>
      </c>
      <c r="B11" s="10">
        <f>Assumptions!B$15</f>
        <v/>
      </c>
      <c r="C11" s="10">
        <f>Assumptions!C$15</f>
        <v/>
      </c>
      <c r="D11" s="10">
        <f>Assumptions!D$15</f>
        <v/>
      </c>
      <c r="E11" s="10">
        <f>Assumptions!E$15</f>
        <v/>
      </c>
      <c r="F11" s="10">
        <f>Assumptions!F$15</f>
        <v/>
      </c>
    </row>
    <row r="12">
      <c r="A12" s="11">
        <f>Assumptions!B$16</f>
        <v/>
      </c>
      <c r="B12" s="12">
        <f>(Assumptions!$B$11*(Assumptions!$B$5/10000*B$11*Assumptions!$B$4+Assumptions!$B$6-(($A12^2)/8)*(1-Assumptions!$B$7)-Assumptions!$B$8*B$11)-(Assumptions!$B$11-1)*Assumptions!$B$12)+Assumptions!$B$9*(1-Assumptions!$B$10*$A12)</f>
        <v/>
      </c>
      <c r="C12" s="12">
        <f>(Assumptions!$B$11*(Assumptions!$B$5/10000*C$11*Assumptions!$B$4+Assumptions!$B$6-(($A12^2)/8)*(1-Assumptions!$B$7)-Assumptions!$B$8*C$11)-(Assumptions!$B$11-1)*Assumptions!$B$12)+Assumptions!$B$9*(1-Assumptions!$B$10*$A12)</f>
        <v/>
      </c>
      <c r="D12" s="12">
        <f>(Assumptions!$B$11*(Assumptions!$B$5/10000*D$11*Assumptions!$B$4+Assumptions!$B$6-(($A12^2)/8)*(1-Assumptions!$B$7)-Assumptions!$B$8*D$11)-(Assumptions!$B$11-1)*Assumptions!$B$12)+Assumptions!$B$9*(1-Assumptions!$B$10*$A12)</f>
        <v/>
      </c>
      <c r="E12" s="12">
        <f>(Assumptions!$B$11*(Assumptions!$B$5/10000*E$11*Assumptions!$B$4+Assumptions!$B$6-(($A12^2)/8)*(1-Assumptions!$B$7)-Assumptions!$B$8*E$11)-(Assumptions!$B$11-1)*Assumptions!$B$12)+Assumptions!$B$9*(1-Assumptions!$B$10*$A12)</f>
        <v/>
      </c>
      <c r="F12" s="12">
        <f>(Assumptions!$B$11*(Assumptions!$B$5/10000*F$11*Assumptions!$B$4+Assumptions!$B$6-(($A12^2)/8)*(1-Assumptions!$B$7)-Assumptions!$B$8*F$11)-(Assumptions!$B$11-1)*Assumptions!$B$12)+Assumptions!$B$9*(1-Assumptions!$B$10*$A12)</f>
        <v/>
      </c>
    </row>
    <row r="13">
      <c r="A13" s="11">
        <f>Assumptions!C$16</f>
        <v/>
      </c>
      <c r="B13" s="12">
        <f>(Assumptions!$B$11*(Assumptions!$B$5/10000*B$11*Assumptions!$B$4+Assumptions!$B$6-(($A13^2)/8)*(1-Assumptions!$B$7)-Assumptions!$B$8*B$11)-(Assumptions!$B$11-1)*Assumptions!$B$12)+Assumptions!$B$9*(1-Assumptions!$B$10*$A13)</f>
        <v/>
      </c>
      <c r="C13" s="12">
        <f>(Assumptions!$B$11*(Assumptions!$B$5/10000*C$11*Assumptions!$B$4+Assumptions!$B$6-(($A13^2)/8)*(1-Assumptions!$B$7)-Assumptions!$B$8*C$11)-(Assumptions!$B$11-1)*Assumptions!$B$12)+Assumptions!$B$9*(1-Assumptions!$B$10*$A13)</f>
        <v/>
      </c>
      <c r="D13" s="12">
        <f>(Assumptions!$B$11*(Assumptions!$B$5/10000*D$11*Assumptions!$B$4+Assumptions!$B$6-(($A13^2)/8)*(1-Assumptions!$B$7)-Assumptions!$B$8*D$11)-(Assumptions!$B$11-1)*Assumptions!$B$12)+Assumptions!$B$9*(1-Assumptions!$B$10*$A13)</f>
        <v/>
      </c>
      <c r="E13" s="12">
        <f>(Assumptions!$B$11*(Assumptions!$B$5/10000*E$11*Assumptions!$B$4+Assumptions!$B$6-(($A13^2)/8)*(1-Assumptions!$B$7)-Assumptions!$B$8*E$11)-(Assumptions!$B$11-1)*Assumptions!$B$12)+Assumptions!$B$9*(1-Assumptions!$B$10*$A13)</f>
        <v/>
      </c>
      <c r="F13" s="12">
        <f>(Assumptions!$B$11*(Assumptions!$B$5/10000*F$11*Assumptions!$B$4+Assumptions!$B$6-(($A13^2)/8)*(1-Assumptions!$B$7)-Assumptions!$B$8*F$11)-(Assumptions!$B$11-1)*Assumptions!$B$12)+Assumptions!$B$9*(1-Assumptions!$B$10*$A13)</f>
        <v/>
      </c>
    </row>
    <row r="14">
      <c r="A14" s="11">
        <f>Assumptions!D$16</f>
        <v/>
      </c>
      <c r="B14" s="12">
        <f>(Assumptions!$B$11*(Assumptions!$B$5/10000*B$11*Assumptions!$B$4+Assumptions!$B$6-(($A14^2)/8)*(1-Assumptions!$B$7)-Assumptions!$B$8*B$11)-(Assumptions!$B$11-1)*Assumptions!$B$12)+Assumptions!$B$9*(1-Assumptions!$B$10*$A14)</f>
        <v/>
      </c>
      <c r="C14" s="12">
        <f>(Assumptions!$B$11*(Assumptions!$B$5/10000*C$11*Assumptions!$B$4+Assumptions!$B$6-(($A14^2)/8)*(1-Assumptions!$B$7)-Assumptions!$B$8*C$11)-(Assumptions!$B$11-1)*Assumptions!$B$12)+Assumptions!$B$9*(1-Assumptions!$B$10*$A14)</f>
        <v/>
      </c>
      <c r="D14" s="12">
        <f>(Assumptions!$B$11*(Assumptions!$B$5/10000*D$11*Assumptions!$B$4+Assumptions!$B$6-(($A14^2)/8)*(1-Assumptions!$B$7)-Assumptions!$B$8*D$11)-(Assumptions!$B$11-1)*Assumptions!$B$12)+Assumptions!$B$9*(1-Assumptions!$B$10*$A14)</f>
        <v/>
      </c>
      <c r="E14" s="12">
        <f>(Assumptions!$B$11*(Assumptions!$B$5/10000*E$11*Assumptions!$B$4+Assumptions!$B$6-(($A14^2)/8)*(1-Assumptions!$B$7)-Assumptions!$B$8*E$11)-(Assumptions!$B$11-1)*Assumptions!$B$12)+Assumptions!$B$9*(1-Assumptions!$B$10*$A14)</f>
        <v/>
      </c>
      <c r="F14" s="12">
        <f>(Assumptions!$B$11*(Assumptions!$B$5/10000*F$11*Assumptions!$B$4+Assumptions!$B$6-(($A14^2)/8)*(1-Assumptions!$B$7)-Assumptions!$B$8*F$11)-(Assumptions!$B$11-1)*Assumptions!$B$12)+Assumptions!$B$9*(1-Assumptions!$B$10*$A14)</f>
        <v/>
      </c>
    </row>
    <row r="15">
      <c r="A15" s="11">
        <f>Assumptions!E$16</f>
        <v/>
      </c>
      <c r="B15" s="12">
        <f>(Assumptions!$B$11*(Assumptions!$B$5/10000*B$11*Assumptions!$B$4+Assumptions!$B$6-(($A15^2)/8)*(1-Assumptions!$B$7)-Assumptions!$B$8*B$11)-(Assumptions!$B$11-1)*Assumptions!$B$12)+Assumptions!$B$9*(1-Assumptions!$B$10*$A15)</f>
        <v/>
      </c>
      <c r="C15" s="12">
        <f>(Assumptions!$B$11*(Assumptions!$B$5/10000*C$11*Assumptions!$B$4+Assumptions!$B$6-(($A15^2)/8)*(1-Assumptions!$B$7)-Assumptions!$B$8*C$11)-(Assumptions!$B$11-1)*Assumptions!$B$12)+Assumptions!$B$9*(1-Assumptions!$B$10*$A15)</f>
        <v/>
      </c>
      <c r="D15" s="12">
        <f>(Assumptions!$B$11*(Assumptions!$B$5/10000*D$11*Assumptions!$B$4+Assumptions!$B$6-(($A15^2)/8)*(1-Assumptions!$B$7)-Assumptions!$B$8*D$11)-(Assumptions!$B$11-1)*Assumptions!$B$12)+Assumptions!$B$9*(1-Assumptions!$B$10*$A15)</f>
        <v/>
      </c>
      <c r="E15" s="12">
        <f>(Assumptions!$B$11*(Assumptions!$B$5/10000*E$11*Assumptions!$B$4+Assumptions!$B$6-(($A15^2)/8)*(1-Assumptions!$B$7)-Assumptions!$B$8*E$11)-(Assumptions!$B$11-1)*Assumptions!$B$12)+Assumptions!$B$9*(1-Assumptions!$B$10*$A15)</f>
        <v/>
      </c>
      <c r="F15" s="12">
        <f>(Assumptions!$B$11*(Assumptions!$B$5/10000*F$11*Assumptions!$B$4+Assumptions!$B$6-(($A15^2)/8)*(1-Assumptions!$B$7)-Assumptions!$B$8*F$11)-(Assumptions!$B$11-1)*Assumptions!$B$12)+Assumptions!$B$9*(1-Assumptions!$B$10*$A15)</f>
        <v/>
      </c>
    </row>
    <row r="16">
      <c r="A16" s="11">
        <f>Assumptions!F$16</f>
        <v/>
      </c>
      <c r="B16" s="12">
        <f>(Assumptions!$B$11*(Assumptions!$B$5/10000*B$11*Assumptions!$B$4+Assumptions!$B$6-(($A16^2)/8)*(1-Assumptions!$B$7)-Assumptions!$B$8*B$11)-(Assumptions!$B$11-1)*Assumptions!$B$12)+Assumptions!$B$9*(1-Assumptions!$B$10*$A16)</f>
        <v/>
      </c>
      <c r="C16" s="12">
        <f>(Assumptions!$B$11*(Assumptions!$B$5/10000*C$11*Assumptions!$B$4+Assumptions!$B$6-(($A16^2)/8)*(1-Assumptions!$B$7)-Assumptions!$B$8*C$11)-(Assumptions!$B$11-1)*Assumptions!$B$12)+Assumptions!$B$9*(1-Assumptions!$B$10*$A16)</f>
        <v/>
      </c>
      <c r="D16" s="12">
        <f>(Assumptions!$B$11*(Assumptions!$B$5/10000*D$11*Assumptions!$B$4+Assumptions!$B$6-(($A16^2)/8)*(1-Assumptions!$B$7)-Assumptions!$B$8*D$11)-(Assumptions!$B$11-1)*Assumptions!$B$12)+Assumptions!$B$9*(1-Assumptions!$B$10*$A16)</f>
        <v/>
      </c>
      <c r="E16" s="12">
        <f>(Assumptions!$B$11*(Assumptions!$B$5/10000*E$11*Assumptions!$B$4+Assumptions!$B$6-(($A16^2)/8)*(1-Assumptions!$B$7)-Assumptions!$B$8*E$11)-(Assumptions!$B$11-1)*Assumptions!$B$12)+Assumptions!$B$9*(1-Assumptions!$B$10*$A16)</f>
        <v/>
      </c>
      <c r="F16" s="12">
        <f>(Assumptions!$B$11*(Assumptions!$B$5/10000*F$11*Assumptions!$B$4+Assumptions!$B$6-(($A16^2)/8)*(1-Assumptions!$B$7)-Assumptions!$B$8*F$11)-(Assumptions!$B$11-1)*Assumptions!$B$12)+Assumptions!$B$9*(1-Assumptions!$B$10*$A16)</f>
        <v/>
      </c>
    </row>
    <row r="19">
      <c r="A19" s="6" t="inlineStr">
        <is>
          <t>Break-even = green/red boundary. NB leverage helps only where Temporal_net &gt; borrow_APR; else it worsens losses.</t>
        </is>
      </c>
    </row>
  </sheetData>
  <conditionalFormatting sqref="B3:F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2:F16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8" customWidth="1" min="3" max="3"/>
  </cols>
  <sheetData>
    <row r="1">
      <c r="A1" s="1" t="inlineStr">
        <is>
          <t>SINGLE-SCENARIO BREAKDOWN (edit the two yellow inputs)</t>
        </is>
      </c>
    </row>
    <row r="3">
      <c r="A3" s="3" t="inlineStr">
        <is>
          <t>daily_turnover</t>
        </is>
      </c>
      <c r="B3" s="9" t="n">
        <v>1</v>
      </c>
    </row>
    <row r="4">
      <c r="A4" s="3" t="inlineStr">
        <is>
          <t>sigma (annualized)</t>
        </is>
      </c>
      <c r="B4" s="8" t="n">
        <v>0.6</v>
      </c>
    </row>
    <row r="6">
      <c r="A6" s="3" t="inlineStr">
        <is>
          <t>Fee income</t>
        </is>
      </c>
      <c r="B6" s="12">
        <f>Assumptions!$B$5/10000*$B$3*Assumptions!$B$4</f>
        <v/>
      </c>
    </row>
    <row r="7">
      <c r="A7" s="3" t="inlineStr">
        <is>
          <t>Funding income</t>
        </is>
      </c>
      <c r="B7" s="12">
        <f>Assumptions!$B$6</f>
        <v/>
      </c>
    </row>
    <row r="8">
      <c r="A8" s="3" t="inlineStr">
        <is>
          <t>LVR cost</t>
        </is>
      </c>
      <c r="B8" s="12">
        <f>-(($B$4^2)/8)*(1-Assumptions!$B$7)</f>
        <v/>
      </c>
    </row>
    <row r="9">
      <c r="A9" s="3" t="inlineStr">
        <is>
          <t>Round-trip drain</t>
        </is>
      </c>
      <c r="B9" s="12">
        <f>-Assumptions!$B$8*$B$3</f>
        <v/>
      </c>
    </row>
    <row r="10">
      <c r="A10" s="3" t="inlineStr">
        <is>
          <t>Temporal_net (unlevered)</t>
        </is>
      </c>
      <c r="B10" s="12">
        <f>B6+B7+B8+B9</f>
        <v/>
      </c>
    </row>
    <row r="11">
      <c r="A11" s="3" t="inlineStr">
        <is>
          <t>Levered Temporal</t>
        </is>
      </c>
      <c r="B11" s="12">
        <f>Assumptions!$B$11*B10-(Assumptions!$B$11-1)*Assumptions!$B$12</f>
        <v/>
      </c>
    </row>
    <row r="12">
      <c r="A12" s="3" t="inlineStr">
        <is>
          <t>HLP layer (unlevered, margin)</t>
        </is>
      </c>
      <c r="B12" s="12">
        <f>Assumptions!$B$9*(1-Assumptions!$B$10*$B$4)</f>
        <v/>
      </c>
    </row>
    <row r="13">
      <c r="A13" s="3" t="inlineStr">
        <is>
          <t>BASE levered net (dollar margin)</t>
        </is>
      </c>
      <c r="B13" s="13">
        <f>B11</f>
        <v/>
      </c>
    </row>
    <row r="14">
      <c r="A14" s="3" t="inlineStr">
        <is>
          <t>RESTAKED levered net (HLP margin)</t>
        </is>
      </c>
      <c r="B14" s="13">
        <f>B11+B12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2026-07-15T15:06:18Z</dcterms:created>
  <dcterms:modified xsi:type="dcterms:W3CDTF">2026-07-15T15:06:18Z</dcterms:modified>
</cp:coreProperties>
</file>