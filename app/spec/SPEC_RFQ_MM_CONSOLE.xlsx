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KERNEL_BURR2" sheetId="2" state="visible" r:id="rId2"/>
    <sheet name="2_QUOTING_ECONOMICS" sheetId="3" state="visible" r:id="rId3"/>
    <sheet name="3_AGGREGATION_RFQ" sheetId="4" state="visible" r:id="rId4"/>
    <sheet name="4_VIEWS_UI" sheetId="5" state="visible" r:id="rId5"/>
    <sheet name="5_WORKED_NUMBERS" sheetId="6" state="visible" r:id="rId6"/>
    <sheet name="6_LEAN_INDEX" sheetId="7" state="visible" r:id="rId7"/>
    <sheet name="7_LEAN_THEOREMS" sheetId="8" state="visible" r:id="rId8"/>
    <sheet name="8_APP_TO_LEAN_MAP" sheetId="9" state="visible" r:id="rId9"/>
    <sheet name="9_BUILD_HISTORY" sheetId="10" state="visible" r:id="rId10"/>
    <sheet name="10_OPEN_GA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6663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0022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WHAT THIS IS</t>
        </is>
      </c>
      <c r="B1" s="2" t="inlineStr">
        <is>
          <t>Spreadsheet-format specification of the Temporal RFQ market-maker console ("the RFQ version"): app/index.html builds 1-11, plus ALL the Lean work relevant to it. Twin of the arXiv-format PDF spec (SPEC_RFQ_MM_CONSOLE_arxiv.pdf) in this directory.</t>
        </is>
      </c>
    </row>
    <row r="3">
      <c r="A3" s="1" t="inlineStr">
        <is>
          <t>OBJECT SPECIFIED</t>
        </is>
      </c>
      <c r="B3" s="2" t="inlineStr">
        <is>
          <t>app/index.html (single file, 562 lines), app/server.js, app/railway.json. Build 11 = commit ebd774e, 2026-08-14. Deployed: https://web-production-cc265.up.railway.app</t>
        </is>
      </c>
    </row>
    <row r="5">
      <c r="A5" s="1" t="inlineStr">
        <is>
          <t>STATUS OF THE APP</t>
        </is>
      </c>
      <c r="B5" s="2" t="inlineStr">
        <is>
          <t>BRAINSTORM SIMULATION (its own footer says so). NOT the production engine (engine/builds/HEAD_temporal_mvp_v28_lens.html is untouched by all of this). Demo constants: S=65695.5, three synthetic competitor makers, demo portfolio positions.</t>
        </is>
      </c>
    </row>
    <row r="7">
      <c r="A7" s="1" t="inlineStr">
        <is>
          <t>DESIGN IN ONE LINE</t>
        </is>
      </c>
      <c r="B7" s="2" t="inlineStr">
        <is>
          <t>The maker's curve IS the quote: four Burr-2 parameters (S-bar, a, gamma, kappa) price ANY strike on demand from a closed form; a half-spread h around it makes bid/ask; makers differ in depth (lambda) and spread (h) but share the LEVEL (no smile - a design CHOICE motivated by the proved single-lens obstruction, not forced by it on Burr-2; see sheets 3/8); the tradeable book is the envelope; RFQ fills walk makers cheapest-first, each paid at its own posted spread.</t>
        </is>
      </c>
    </row>
    <row r="9">
      <c r="A9" s="1" t="inlineStr">
        <is>
          <t>LEAN CORPUS COVERED</t>
        </is>
      </c>
      <c r="B9" s="2" t="inlineStr">
        <is>
          <t>5 packages / 130 theorems: BURR2_CORE (42) + BURR2_MIXTURE (13) + LOOP_LINK_A pricing (9) + LOOP_LINK_B settlement (12) + v3-maps-lean base layer (54). See sheets 6-8.</t>
        </is>
      </c>
    </row>
    <row r="11">
      <c r="A11" s="1" t="inlineStr">
        <is>
          <t>PROVENANCE LABELS</t>
        </is>
      </c>
      <c r="B11" s="2" t="inlineStr">
        <is>
          <t>All 5 Lean packages: proved by Aristotle (Harmonic) or written in-repo, then LOCALLY KERNEL-VERIFIED in our own Lean 4.28.0 + Mathlib kernel (research-lead, 2026-08-14); #print axioms = {propext, Classical.choice, Quot.sound} on every theorem; statements byte-identical to what was submitted. Caveat stated, not hidden: Mathlib .oleans came from the Mathlib CI cache, not a from-scratch rebuild. The flip of the repo label trusted-from-prover -&gt; verified is on record as a recommendation; it is the operator's call.</t>
        </is>
      </c>
    </row>
    <row r="13">
      <c r="A13" s="1" t="inlineStr">
        <is>
          <t>JS &lt;-&gt; LEAN HONESTY</t>
        </is>
      </c>
      <c r="B13" s="2" t="inlineStr">
        <is>
          <t>The Lean Burr-2 definitions mirror the app's mk() function statement-by-statement (BURR2_CORE section 1 is the "sheet correspondence" layer), but the JS-to-Lean transcription itself is asserted, not proved. Numeric spot-checks in sheet 5 are the bridge evidence.</t>
        </is>
      </c>
    </row>
    <row r="15">
      <c r="A15" s="1" t="inlineStr">
        <is>
          <t>WORKED NUMBERS</t>
        </is>
      </c>
      <c r="B15" s="2" t="inlineStr">
        <is>
          <t>Every number in sheet 5 was re-derived by the manager on 2026-08-18 by executing the app's own math in Node (not copied from commit messages). Historical build-5 headline numbers are labelled historical - they do NOT reproduce on build-11 defaults.</t>
        </is>
      </c>
    </row>
    <row r="17">
      <c r="A17" s="1" t="inlineStr">
        <is>
          <t>SOURCES</t>
        </is>
      </c>
      <c r="B17" s="2" t="inlineStr">
        <is>
          <t>app commits 75abb52..ebd774e; formal/aristotle_runs/{BURR2_CORE,BURR2_MIXTURE,LOOP_LINK_A_pricing,LOOP_LINK_B_settlement}; sims/v3-maps-lean; notes/research/AUDIT_closed_loop_lean_2026-08-14.md; operator transcript entries 504-541 + commit-quoted fragments for builds 1-11 (transcription gap - see history/operator/CORRIGENDUM_2026-08-18_appbuild_session_gap.md).</t>
        </is>
      </c>
    </row>
    <row r="19">
      <c r="A19" s="1" t="inlineStr">
        <is>
          <t>AUTHOR / DATE</t>
        </is>
      </c>
      <c r="B19" s="2" t="inlineStr">
        <is>
          <t>manager, 2026-08-18, branch claude/rfq-spreadsheet-pdf-specs-o15n09. Skeptic-gated before hand-back (verdict appended to the reply, unedited).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>
      <c r="A1" s="1" t="inlineStr">
        <is>
          <t>THE BURR-2 KERNEL — the closed form the app quotes from (app/index.html mk(), lines 233-240)</t>
        </is>
      </c>
    </row>
    <row r="3">
      <c r="A3" s="3" t="inlineStr">
        <is>
          <t>object</t>
        </is>
      </c>
      <c r="B3" s="3" t="inlineStr">
        <is>
          <t>formula</t>
        </is>
      </c>
      <c r="C3" s="3" t="inlineStr">
        <is>
          <t>meaning / notes</t>
        </is>
      </c>
    </row>
    <row r="4">
      <c r="A4" t="inlineStr">
        <is>
          <t>parameters</t>
        </is>
      </c>
      <c r="B4" s="2" t="inlineStr">
        <is>
          <t>S-bar, a, gamma, kappa</t>
        </is>
      </c>
      <c r="C4" s="2" t="inlineStr">
        <is>
          <t>mean strike scale; Burr c (shape); Burr k (tail weight); skew. Defaults 0.60 / 1.2705 / 1.8413 / 0.</t>
        </is>
      </c>
    </row>
    <row r="5">
      <c r="A5" t="inlineStr">
        <is>
          <t>moneyness</t>
        </is>
      </c>
      <c r="B5" s="2" t="inlineStr">
        <is>
          <t>k = K/S - 1</t>
        </is>
      </c>
      <c r="C5" s="2" t="inlineStr">
        <is>
          <t>linear moneyness; calls live k&gt;=0 OTM, puts k&lt;=0 OTM. Zero-strike edge at k=-1.</t>
        </is>
      </c>
    </row>
    <row r="6">
      <c r="A6" t="inlineStr">
        <is>
          <t>beta constant</t>
        </is>
      </c>
      <c r="B6" s="2" t="inlineStr">
        <is>
          <t>B = Gamma(1/a)*Gamma(g/a) / Gamma(1/a + g/a)</t>
        </is>
      </c>
      <c r="C6" s="2">
        <f> Beta(1/a, g/a). JS via logGamma (Lanczos).</f>
        <v/>
      </c>
    </row>
    <row r="7">
      <c r="A7" t="inlineStr">
        <is>
          <t>wing scales</t>
        </is>
      </c>
      <c r="B7" s="2" t="inlineStr">
        <is>
          <t>sR = S-bar*(1+kappa),  sL = S-bar*(1-kappa)</t>
        </is>
      </c>
      <c r="C7" s="2" t="inlineStr">
        <is>
          <t>kappa skews right/left wing scales apart. Lean: sR_pos, sL_pos.</t>
        </is>
      </c>
    </row>
    <row r="8">
      <c r="A8" t="inlineStr">
        <is>
          <t>wing kernel</t>
        </is>
      </c>
      <c r="B8" s="2" t="inlineStr">
        <is>
          <t>Delta_s(v) = (1 + (v/s)^a)^(-(g+1)/a)</t>
        </is>
      </c>
      <c r="C8" s="2" t="inlineStr">
        <is>
          <t>Burr-II / t-family survival kernel. Lean: kern_pos, kern_le_one, kern_antitone.</t>
        </is>
      </c>
    </row>
    <row r="9">
      <c r="A9" t="inlineStr">
        <is>
          <t>tail (wing value)</t>
        </is>
      </c>
      <c r="B9" s="2" t="inlineStr">
        <is>
          <t>T_s(m) = (s/a)*B*(1 - I_u(1/a, g/a)),  u = m^a/(m^a + s^a)</t>
        </is>
      </c>
      <c r="C9" s="2" t="inlineStr">
        <is>
          <t>integral of the kernel past m; I_u = regularized incomplete beta (JS: continued fraction ibeta). u is the junk-safe form of 1/(1+(s/m)^a) — Lean uArg_eq_sheet.</t>
        </is>
      </c>
    </row>
    <row r="10">
      <c r="A10" t="inlineStr">
        <is>
          <t>pedestal / edge</t>
        </is>
      </c>
      <c r="B10" s="2" t="inlineStr">
        <is>
          <t>G1 = Delta_sL(1),  I1 = T_sL(1)</t>
        </is>
      </c>
      <c r="C10" s="2" t="inlineStr">
        <is>
          <t>left kernel and left tail at the zero-strike edge |k|=1. Lean: G1_pos, G1_lt_one.</t>
        </is>
      </c>
    </row>
    <row r="11">
      <c r="A11" t="inlineStr">
        <is>
          <t>wing masses</t>
        </is>
      </c>
      <c r="B11" s="2" t="inlineStr">
        <is>
          <t>WR = sR*B/a;  WL = (sL*B/a - I1 - G1)/(1 - G1)</t>
        </is>
      </c>
      <c r="C11" s="2" t="inlineStr">
        <is>
          <t>right total mass; left mass truncated at K=0. Lean: WR_pos, WL_nonneg, tail_zero(_R).</t>
        </is>
      </c>
    </row>
    <row r="12">
      <c r="A12" t="inlineStr">
        <is>
          <t>THE PEG</t>
        </is>
      </c>
      <c r="B12" s="2" t="inlineStr">
        <is>
          <t>qR = WL/(WR+WL),  qL = 1-qR</t>
        </is>
      </c>
      <c r="C12" s="2" t="inlineStr">
        <is>
          <t>DERIVED, not chosen: the unique split making the wings meet at k=0 (Lean atm_wings_meet). Parity at-the-money IS the peg.</t>
        </is>
      </c>
    </row>
    <row r="13">
      <c r="A13" t="inlineStr">
        <is>
          <t>right wing</t>
        </is>
      </c>
      <c r="B13" s="2" t="inlineStr">
        <is>
          <t>A_R(k) = qR * T_sR(|k|)</t>
        </is>
      </c>
      <c r="C13" s="2" t="inlineStr">
        <is>
          <t>call OTM value. Lean: AR_nonneg, AR_zero.</t>
        </is>
      </c>
    </row>
    <row r="14">
      <c r="A14" t="inlineStr">
        <is>
          <t>left wing</t>
        </is>
      </c>
      <c r="B14" s="2" t="inlineStr">
        <is>
          <t>A_L(k) = qL/(1-G1) * ( T_sL(|k|) - I1 - G1*(1-|k|) )  for |k|&lt;1;  0 past |k|&gt;=1</t>
        </is>
      </c>
      <c r="C14" s="2" t="inlineStr">
        <is>
          <t>put OTM value, glued to 0 at the zero-strike edge with NO extra constant (Lean AL_glue: the closed form already vanishes there).</t>
        </is>
      </c>
    </row>
    <row r="15">
      <c r="A15" t="inlineStr">
        <is>
          <t>CALL</t>
        </is>
      </c>
      <c r="B15" s="2" t="inlineStr">
        <is>
          <t>CALL(k) = A_R(k) if k&gt;=0 else -k + A_L(k)</t>
        </is>
      </c>
      <c r="C15" s="2" t="inlineStr">
        <is>
          <t>OTM = the wing; ITM = intrinsic + the MIRROR wing.</t>
        </is>
      </c>
    </row>
    <row r="16">
      <c r="A16" t="inlineStr">
        <is>
          <t>PUT</t>
        </is>
      </c>
      <c r="B16" s="2" t="inlineStr">
        <is>
          <t>PUT(k) = A_L(k) if k&lt;=0 else k + A_R(k)</t>
        </is>
      </c>
      <c r="C16" s="2" t="inlineStr">
        <is>
          <t>same construction mirrored.</t>
        </is>
      </c>
    </row>
    <row r="17">
      <c r="A17" t="inlineStr">
        <is>
          <t>ATM mark</t>
        </is>
      </c>
      <c r="B17" s="2" t="inlineStr">
        <is>
          <t>ATM = qR * (sR/a) * B = qR*WR</t>
        </is>
      </c>
      <c r="C17" s="2" t="inlineStr">
        <is>
          <t>defaults: 0.178888.</t>
        </is>
      </c>
    </row>
    <row r="18">
      <c r="A18" t="inlineStr">
        <is>
          <t>PARITY</t>
        </is>
      </c>
      <c r="B18" s="2" t="inlineStr">
        <is>
          <t>CALL(k) - PUT(k) = -k at EVERY strike</t>
        </is>
      </c>
      <c r="C18" s="2" t="inlineStr">
        <is>
          <t>Lean burr2_parity. Off-ATM: pure branch bookkeeping, NO hypotheses (burr2_parity_of_ne). AT k=0 it is exactly the peg.</t>
        </is>
      </c>
    </row>
    <row r="19">
      <c r="A19" t="inlineStr">
        <is>
          <t>zero-strike anchor</t>
        </is>
      </c>
      <c r="B19" s="2" t="inlineStr">
        <is>
          <t>CALL(-1) = 1,  PUT(-1) = 0</t>
        </is>
      </c>
      <c r="C19" s="2" t="inlineStr">
        <is>
          <t>the call struck at K=0 is the whole coin; the put there is worthless. Lean call_at_zero_strike / put_at_zero_strike.</t>
        </is>
      </c>
    </row>
    <row r="20">
      <c r="A20" t="inlineStr">
        <is>
          <t>shape properties</t>
        </is>
      </c>
      <c r="B20" s="2" t="inlineStr">
        <is>
          <t>CALL antitone + Lipschitz in k; PUT monotone; all values &gt;= 0</t>
        </is>
      </c>
      <c r="C20" s="2" t="inlineStr">
        <is>
          <t>Lean section 4, CONDITIONAL on the TailRep interface (two-sided Riemann sandwich on the incomplete beta), non-vacuous by an explicit witness (section 5).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4" customWidth="1" min="3" max="3"/>
  </cols>
  <sheetData>
    <row r="1">
      <c r="A1" s="1" t="inlineStr">
        <is>
          <t>QUOTING + MAKER ECONOMICS (Earn view) — vol-indexed spread vs gamma bleed. ECONOMIC MODEL, NO LEAN (open item).</t>
        </is>
      </c>
    </row>
    <row r="3">
      <c r="A3" s="3" t="inlineStr">
        <is>
          <t>quantity</t>
        </is>
      </c>
      <c r="B3" s="3" t="inlineStr">
        <is>
          <t>formula (as coded, calc() lines 283-316)</t>
        </is>
      </c>
      <c r="C3" s="3" t="inlineStr">
        <is>
          <t>notes</t>
        </is>
      </c>
    </row>
    <row r="4">
      <c r="A4" t="inlineStr">
        <is>
          <t>two curve sets</t>
        </is>
      </c>
      <c r="B4" s="2" t="inlineStr">
        <is>
          <t>ask(k) = V(k)*(1+h/1e4);  bid(k) = V(k)*(1-h/1e4)</t>
        </is>
      </c>
      <c r="C4" s="2" t="inlineStr">
        <is>
          <t>V = CALL or PUT from the kernel; h = half-spread in bps. The band between them is the revenue and it is IRREVERSIBLE (unlike CPMM slippage).</t>
        </is>
      </c>
    </row>
    <row r="5">
      <c r="A5" t="inlineStr">
        <is>
          <t>cash curvature G-tilde</t>
        </is>
      </c>
      <c r="B5" s="2" t="inlineStr">
        <is>
          <t>C_cash(S,K) = CALL(K/S-1)*S;  G = mean over K/S in {0.85,0.95,1,1.05,1.15} of |S * d2C_cash/dS2|</t>
        </is>
      </c>
      <c r="C5" s="2" t="inlineStr">
        <is>
          <t>per-$1-notional cash gamma, central differences, h_S = 0.002*S. Defaults: G = 0.9065.</t>
        </is>
      </c>
    </row>
    <row r="6">
      <c r="A6" t="inlineStr">
        <is>
          <t>gamma bleed</t>
        </is>
      </c>
      <c r="B6" s="2" t="inlineStr">
        <is>
          <t>bleed = 0.5 * G * RV^2   (fraction of notional / year)</t>
        </is>
      </c>
      <c r="C6" s="2" t="inlineStr">
        <is>
          <t>defaults (RV=60%): 0.16317 / yr.</t>
        </is>
      </c>
    </row>
    <row r="7">
      <c r="A7" t="inlineStr">
        <is>
          <t>fair half-spread</t>
        </is>
      </c>
      <c r="B7" s="2" t="inlineStr">
        <is>
          <t>h_fair = bleed / (turnover * 365) * 1e4  bps</t>
        </is>
      </c>
      <c r="C7" s="2" t="inlineStr">
        <is>
          <t>the half-spread at which spread revenue exactly funds the bleed. Defaults: 14.90 bps.</t>
        </is>
      </c>
    </row>
    <row r="8">
      <c r="A8" t="inlineStr">
        <is>
          <t>vol-indexed quote</t>
        </is>
      </c>
      <c r="B8" s="2" t="inlineStr">
        <is>
          <t>h_eff = h_fair * (1 + 25%)</t>
        </is>
      </c>
      <c r="C8" s="2" t="inlineStr">
        <is>
          <t>quote tracks realised vol with a 25% margin over fair. Defaults: 18.63 bps.</t>
        </is>
      </c>
    </row>
    <row r="9">
      <c r="A9" t="inlineStr">
        <is>
          <t>fixed-spread mode</t>
        </is>
      </c>
      <c r="B9" s="2" t="inlineStr">
        <is>
          <t>h_eff = fee * 1e4 / 2</t>
        </is>
      </c>
      <c r="C9" s="2" t="inlineStr">
        <is>
          <t>the pedagogical alternative: a static quote calibrated to one vol only. Default fee=0.02 -&gt; 100 bps.</t>
        </is>
      </c>
    </row>
    <row r="10">
      <c r="A10" t="inlineStr">
        <is>
          <t>notional</t>
        </is>
      </c>
      <c r="B10" s="2" t="inlineStr">
        <is>
          <t>notBTC = margin * 10 (pool leverage 10x);  Sigma-notional = 2 * notBTC (both wings)</t>
        </is>
      </c>
      <c r="C10" s="2" t="inlineStr">
        <is>
          <t>defaults: margin 15 BTC -&gt; 300 BTC = $19,708,650.</t>
        </is>
      </c>
    </row>
    <row r="11">
      <c r="A11" t="inlineStr">
        <is>
          <t>capacity density</t>
        </is>
      </c>
      <c r="B11" s="2" t="inlineStr">
        <is>
          <t>w(k) = exp(-8 * lambda * k^2), normalised so each wing integrates to notBTC</t>
        </is>
      </c>
      <c r="C11" s="2" t="inlineStr">
        <is>
          <t>CONTINUOUS - no ladder, no rungs. Capacity centre (weighted mean k) at defaults: 29%.</t>
        </is>
      </c>
    </row>
    <row r="12">
      <c r="A12" t="inlineStr">
        <is>
          <t>fees / yr</t>
        </is>
      </c>
      <c r="B12" s="2" t="inlineStr">
        <is>
          <t>fees = (h_eff/1e4) * turnover * 365 * notionalUSD</t>
        </is>
      </c>
      <c r="C12" s="2" t="inlineStr">
        <is>
          <t>defaults: $4,019,813.</t>
        </is>
      </c>
    </row>
    <row r="13">
      <c r="A13" t="inlineStr">
        <is>
          <t>bleed / yr</t>
        </is>
      </c>
      <c r="B13" s="2" t="inlineStr">
        <is>
          <t>bleedYr = bleed * notionalUSD</t>
        </is>
      </c>
      <c r="C13" s="2" t="inlineStr">
        <is>
          <t>defaults: $3,215,850.</t>
        </is>
      </c>
    </row>
    <row r="14">
      <c r="A14" t="inlineStr">
        <is>
          <t>base APR</t>
        </is>
      </c>
      <c r="B14" s="2" t="inlineStr">
        <is>
          <t>(fees - bleedYr) / notionalUSD</t>
        </is>
      </c>
      <c r="C14" s="2" t="inlineStr">
        <is>
          <t>defaults: 4.1%.</t>
        </is>
      </c>
    </row>
    <row r="15">
      <c r="A15" t="inlineStr">
        <is>
          <t>levered APR</t>
        </is>
      </c>
      <c r="B15" s="2" t="inlineStr">
        <is>
          <t>(fees - bleedYr) / equity,  equity = margin * S</t>
        </is>
      </c>
      <c r="C15" s="2" t="inlineStr">
        <is>
          <t>defaults: 81.6%.</t>
        </is>
      </c>
    </row>
    <row r="16">
      <c r="A16" t="inlineStr">
        <is>
          <t>break-even turnover</t>
        </is>
      </c>
      <c r="B16" s="2" t="inlineStr">
        <is>
          <t>bleed / ((h_eff/1e4) * 365)</t>
        </is>
      </c>
      <c r="C16" s="2" t="inlineStr">
        <is>
          <t>defaults: 0.24x / day (assumed 0.30x -&gt; viable at these settings).</t>
        </is>
      </c>
    </row>
    <row r="17">
      <c r="A17" t="inlineStr">
        <is>
          <t>EXECUTION CONVENTION</t>
        </is>
      </c>
      <c r="B17" s="2" t="inlineStr">
        <is>
          <t>continuous (integral) pricing: impact is a price path, NOT maker revenue</t>
        </is>
      </c>
      <c r="C17" s="2" t="inlineStr">
        <is>
          <t>operator entries 539-540: the endpoint-price shortcut fabricated "slippage revenue"; only fee/spread is net revenue. The app is built on the corrected convention.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4" customWidth="1" min="3" max="3"/>
  </cols>
  <sheetData>
    <row r="1">
      <c r="A1" s="1" t="inlineStr">
        <is>
          <t>MULTI-MAKER AGGREGATION + RFQ FILL — one book, three vantage points (Earn = maker, Transact = taker, Bands/Portfolio = holder)</t>
        </is>
      </c>
    </row>
    <row r="3">
      <c r="A3" s="3" t="inlineStr">
        <is>
          <t>mechanism</t>
        </is>
      </c>
      <c r="B3" s="3" t="inlineStr">
        <is>
          <t>rule (as coded, makerCurves/aggBook/renderTransact)</t>
        </is>
      </c>
      <c r="C3" s="3" t="inlineStr">
        <is>
          <t>notes / Lean backing</t>
        </is>
      </c>
    </row>
    <row r="4">
      <c r="A4" t="inlineStr">
        <is>
          <t>COMMON LEVEL (no smile)</t>
        </is>
      </c>
      <c r="B4" s="2" t="inlineStr">
        <is>
          <t>all makers share S-bar, a, gamma, kappa; each maker owns only depth lambda_i and half-spread h_i</t>
        </is>
      </c>
      <c r="C4" s="2" t="inlineStr">
        <is>
          <t>CHOSEN architecture ("transport-not-level") - MOTIVATED, NOT FORCED, by the proved obstruction: mixture_not_single_lens (LOOP_LINK_A) is proved for the POWER-LAW LENS family; on Burr-2 the corpus's own BURR2_MIXTURE result says heterogeneity is second-order mild and re-fit is practically viable (entry 529), and the envelope need not be one curve. Ratification provenance is RECONSTRUCTION-GRADE (the 2026-08-14 session is untranscribed; transport-not-level enters the transcript as a manager recommendation, entry 513). Build 11's crossed book (bid 0.15482 &gt; ask 0.12015) was a LEVEL-DISAGREEMENT failure - a DISTINCT failure mode from the smile obstruction, not an instance of it; what IS provable: common level + positive spreads cannot cross.</t>
        </is>
      </c>
    </row>
    <row r="5">
      <c r="A5" t="inlineStr">
        <is>
          <t>depth shares</t>
        </is>
      </c>
      <c r="B5" s="2" t="inlineStr">
        <is>
          <t>share_i = (1/lambda_i) / Sigma_j (1/lambda_j);  1/lambda_agg = Sigma 1/lambda_i</t>
        </is>
      </c>
      <c r="C5" s="2" t="inlineStr">
        <is>
          <t>harmonic / parallel-conductance law. Lean: harmonic_law, shares_sum_one, share_eq_agg_ratio, share_nonneg (BURR2_CORE section 6); beta_transport_parallel + walk_equiv (v3-maps).</t>
        </is>
      </c>
    </row>
    <row r="6">
      <c r="A6" t="inlineStr">
        <is>
          <t>envelope book</t>
        </is>
      </c>
      <c r="B6" s="2" t="inlineStr">
        <is>
          <t>ask(k) = min_i V_i(k)*(1+h_i/1e4);  bid(k) = max_i V_i(k)*(1-h_i/1e4)</t>
        </is>
      </c>
      <c r="C6" s="2" t="inlineStr">
        <is>
          <t>the tradeable book is the ENVELOPE - always at least as tight as any single maker. "Improvement vs single maker" panel quantifies what competition buys.</t>
        </is>
      </c>
    </row>
    <row r="7">
      <c r="A7" t="inlineStr">
        <is>
          <t>cross detector</t>
        </is>
      </c>
      <c r="B7" s="2" t="inlineStr">
        <is>
          <t>if bid(k) &gt; ask(k): flag "CROSSED - arb"</t>
        </is>
      </c>
      <c r="C7" s="2" t="inlineStr">
        <is>
          <t>honest tripwire; cannot fire under common level + positive spreads, fires if levels ever diverge.</t>
        </is>
      </c>
    </row>
    <row r="8">
      <c r="A8" t="inlineStr">
        <is>
          <t>RFQ fill walk</t>
        </is>
      </c>
      <c r="B8" s="2" t="inlineStr">
        <is>
          <t>sort makers by quoted price (cheapest first for a buy); fill each up to cap_i = share_i * pool; each maker PAID AT ITS OWN posted spread</t>
        </is>
      </c>
      <c r="C8" s="2" t="inlineStr">
        <is>
          <t>Lean: apportionment_conserves (revenue conserved across the walk). Pay-your-own-quote, not uniform-price.</t>
        </is>
      </c>
    </row>
    <row r="9">
      <c r="A9" t="inlineStr">
        <is>
          <t>competitor model</t>
        </is>
      </c>
      <c r="B9" s="2" t="inlineStr">
        <is>
          <t>MM-Kappa (lam .05, aggr 1.10) / MM-Delta (.10, 1.45) / MM-Sigma (.04, 1.22); h_i = h_fair * aggr_i when vol-indexed</t>
        </is>
      </c>
      <c r="C9" s="2" t="inlineStr">
        <is>
          <t>SYNTHETIC demo makers - competitors also vol-index, so the RFQ competition is apples-to-apples.</t>
        </is>
      </c>
    </row>
    <row r="10">
      <c r="A10" t="inlineStr">
        <is>
          <t>settlement doorway</t>
        </is>
      </c>
      <c r="B10" s="2" t="inlineStr">
        <is>
          <t>legs net in perp UNITS; ONE common units-&gt;cash conversion at the exit (x S)</t>
        </is>
      </c>
      <c r="C10" s="2" t="inlineStr">
        <is>
          <t>Lean: doorway_arbfree_iff_common (LOOP_LINK_B) - a single common conversion factor is EXACTLY the arb-free class; any per-strike factor admits unbounded arb. This is why usd() applies one S everywhere.</t>
        </is>
      </c>
    </row>
    <row r="11">
      <c r="A11" t="inlineStr">
        <is>
          <t>trade bands</t>
        </is>
      </c>
      <c r="B11" s="2" t="inlineStr">
        <is>
          <t>sell wing at k_s, proceeds buy wing at k_b; ONLY kappa moves; S-bar, a, gamma unchanged</t>
        </is>
      </c>
      <c r="C11" s="2" t="inlineStr">
        <is>
          <t>per-leg fee + slippage 0.5*lam*(q/N)/0.01*ATM/P; Delta-kappa from signed leg pressures. Defaults example: sell 5 BTC @ +10% -&gt; proceeds 0.6840 BTC -&gt; buys 5.2346 units @ -10%; Delta-kappa = +0.00574. Kappa dynamics have NO Lean (open).</t>
        </is>
      </c>
    </row>
    <row r="12">
      <c r="A12" t="inlineStr">
        <is>
          <t>portfolio / carve</t>
        </is>
      </c>
      <c r="B12" s="2" t="inlineStr">
        <is>
          <t>perps + options in ONE account equity; option-on-perp carves notional out of the perps tab; net option delta read back to a perp hedge; 50x cap</t>
        </is>
      </c>
      <c r="C12" s="2" t="inlineStr">
        <is>
          <t>operator rulings entries 514-517 (account-level liquidation, no option funding). Readback has NO Lean (v3-maps G1: Exposure cited in README but absent - still open as of 2026-08-18). The displayed "residual exposure 0.000000" is a HARDCODED string atop a definitional identity (hedge := -netDelta), not a computed check; and the demo put-leg delta is not parity-consistent (skeptic finding 2026-08-18, sheet 10 F-1).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</cols>
  <sheetData>
    <row r="1">
      <c r="A1" s="1" t="inlineStr">
        <is>
          <t>UI SPEC — 4 views on one book. Reference design system: CurveParamField chrome, card/token system, metric rows, IBM Plex Mono.</t>
        </is>
      </c>
    </row>
    <row r="3">
      <c r="A3" s="3" t="inlineStr">
        <is>
          <t>view</t>
        </is>
      </c>
      <c r="B3" s="3" t="inlineStr">
        <is>
          <t>panels</t>
        </is>
      </c>
      <c r="C3" s="3" t="inlineStr">
        <is>
          <t>controls / behavior</t>
        </is>
      </c>
    </row>
    <row r="4">
      <c r="A4" t="inlineStr">
        <is>
          <t>EARN (maker)</t>
        </is>
      </c>
      <c r="B4" s="2" t="inlineStr">
        <is>
          <t>Curve Parameters; Margin; Your two curve sets (chart); RFQ ladder; Quote Capacity; Yield; Quoting mode; Market &amp; risk</t>
        </is>
      </c>
      <c r="C4" s="2" t="inlineStr">
        <is>
          <t>Params: S-bar [.05,1], a [.2,3], gamma [.3,4], kappa [-.9,.9], lambda [.01,1], fee [0,.2], depth [1,80] BTC/1% strike; margin BTC. Chart: call/put ask SOLID + bid DASHED as FIRST-CLASS curves, spread drawn as a filled band, "spread view xN" magnifier (default x25, honest caption - real gap ~19bps would overlap on screen), mid demoted to faint reference, capacity-density ribbon. HOVER QUOTING: crosshair tracks any strike; readout = strike, call bid/ask, put bid/ask, half-spread, C-P vs -k parity, spread capture on size. No standalone quote box (build 10: chart IS every strike). Market sliders: realised vol, turnover/day, RFQ size. Risk: curvature, break-even half-spread &amp; turnover, parity check to 12dp. Vol-indexed toggle.</t>
        </is>
      </c>
    </row>
    <row r="5">
      <c r="A5" t="inlineStr">
        <is>
          <t>TRANSACT (taker)</t>
        </is>
      </c>
      <c r="B5" s="2" t="inlineStr">
        <is>
          <t>Order ticket; Aggregate book chart; Fill breakdown; Best of book; Improvement vs single maker</t>
        </is>
      </c>
      <c r="C5" s="2" t="inlineStr">
        <is>
          <t>Buy/sell toggle, any strike k in [-60%,+60%], size. Chart: envelope best-ask solid / best-bid dashed, shaded band, individual makers faint behind. Ticket prices off the envelope, names the filling maker, fill table walks makers cheapest-first with per-maker price/fills/notional. Book state flag: clean / CROSSED - arb.</t>
        </is>
      </c>
    </row>
    <row r="6">
      <c r="A6" t="inlineStr">
        <is>
          <t>TRADE BANDS</t>
        </is>
      </c>
      <c r="B6" s="2" t="inlineStr">
        <is>
          <t>Band ticket (sell strike, buy strike, size); before/after chart; State move</t>
        </is>
      </c>
      <c r="C6" s="2" t="inlineStr">
        <is>
          <t>Shows both leg prices, proceeds, units bought; state move kappa-before -&gt; Delta-kappa -&gt; kappa-after with S-bar/a/gamma explicitly "unchanged"; ATM before -&gt; after; curve drawn before (teal) and after (amber).</t>
        </is>
      </c>
    </row>
    <row r="7">
      <c r="A7" t="inlineStr">
        <is>
          <t>PORTFOLIO (holder)</t>
        </is>
      </c>
      <c r="B7" s="2" t="inlineStr">
        <is>
          <t>Account; Carve; Positions; Hedge readback; Liquidation</t>
        </is>
      </c>
      <c r="C7" s="2" t="inlineStr">
        <is>
          <t>Demo positions with mark/value/delta; ONE account equity (perps + options), account leverage vs 50x cap with headroom + SAFE/LIQUIDATED status; carve panel (carved notional, equity removed from perps tab); hedge readback: net option delta -&gt; required perp hedge -&gt; "residual 0" (NB the residual-0 line is a hardcoded display of the definitional identity hedge := -netDelta, NOT a computed check - see sheet 10 F-1).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60" customWidth="1" min="5" max="5"/>
  </cols>
  <sheetData>
    <row r="1">
      <c r="A1" s="1" t="inlineStr">
        <is>
          <t>WORKED NUMBERS at build-11 defaults — ALL re-derived by the manager 2026-08-18 by executing the app math in Node.</t>
        </is>
      </c>
    </row>
    <row r="2">
      <c r="A2" s="2" t="inlineStr">
        <is>
          <t>Defaults: S-bar .60, a 1.2705, gamma 1.8413, kappa 0, lambda .10, fee .02, depth 25, margin 15 BTC, S=$65,695.5, RV 60%, turnover 0.30x/day, pool 200 BTC, RFQ 5 BTC.</t>
        </is>
      </c>
    </row>
    <row r="4">
      <c r="A4" s="3" t="inlineStr">
        <is>
          <t>quantity</t>
        </is>
      </c>
      <c r="B4" s="3" t="inlineStr">
        <is>
          <t>value</t>
        </is>
      </c>
      <c r="C4" s="3" t="inlineStr"/>
      <c r="D4" s="3" t="inlineStr"/>
      <c r="E4" s="3" t="inlineStr">
        <is>
          <t>note</t>
        </is>
      </c>
    </row>
    <row r="5">
      <c r="A5" t="inlineStr">
        <is>
          <t>ATM mark</t>
        </is>
      </c>
      <c r="B5" t="inlineStr">
        <is>
          <t>0.178888</t>
        </is>
      </c>
      <c r="C5" t="inlineStr"/>
      <c r="D5" t="inlineStr"/>
      <c r="E5" s="2" t="inlineStr">
        <is>
          <t>qR*WR</t>
        </is>
      </c>
    </row>
    <row r="6">
      <c r="A6" t="inlineStr">
        <is>
          <t>CALL(k=+12%) / PUT(+12%)</t>
        </is>
      </c>
      <c r="B6" t="inlineStr">
        <is>
          <t>0.135450</t>
        </is>
      </c>
      <c r="C6" t="inlineStr">
        <is>
          <t>0.255450</t>
        </is>
      </c>
      <c r="D6" t="inlineStr"/>
      <c r="E6" s="2" t="inlineStr">
        <is>
          <t>the Transact default strike</t>
        </is>
      </c>
    </row>
    <row r="7">
      <c r="A7" t="inlineStr">
        <is>
          <t>parity |C-P+k| at k=0.2</t>
        </is>
      </c>
      <c r="B7" t="inlineStr">
        <is>
          <t>0.0e+00</t>
        </is>
      </c>
      <c r="C7" t="inlineStr"/>
      <c r="D7" t="inlineStr"/>
      <c r="E7" s="2" t="inlineStr">
        <is>
          <t>EXACT 0 in floating point off-ATM</t>
        </is>
      </c>
    </row>
    <row r="8">
      <c r="A8" t="inlineStr">
        <is>
          <t>parity C-P at k=0</t>
        </is>
      </c>
      <c r="B8" t="inlineStr">
        <is>
          <t>2.44e-13</t>
        </is>
      </c>
      <c r="C8" t="inlineStr"/>
      <c r="D8" t="inlineStr"/>
      <c r="E8" s="2" t="inlineStr">
        <is>
          <t>the peg, numerically ~2.4e-13 (ibeta continued fraction) - Lean: at k=0 parity IS the peg, so these are ONE phenomenon</t>
        </is>
      </c>
    </row>
    <row r="9">
      <c r="A9" t="inlineStr">
        <is>
          <t>CALL(-1) / PUT(-1)</t>
        </is>
      </c>
      <c r="B9" t="inlineStr">
        <is>
          <t>1.0</t>
        </is>
      </c>
      <c r="C9" t="inlineStr">
        <is>
          <t>0.0</t>
        </is>
      </c>
      <c r="D9" t="inlineStr"/>
      <c r="E9" s="2" t="inlineStr">
        <is>
          <t>zero-strike anchor, exact</t>
        </is>
      </c>
    </row>
    <row r="10">
      <c r="A10" t="inlineStr">
        <is>
          <t>curvature G-tilde</t>
        </is>
      </c>
      <c r="B10" t="inlineStr">
        <is>
          <t>0.9065</t>
        </is>
      </c>
      <c r="C10" t="inlineStr"/>
      <c r="D10" t="inlineStr"/>
      <c r="E10" s="2" t="inlineStr">
        <is>
          <t>mean |S^2 * d2C/dS2| over 5 moneyness points</t>
        </is>
      </c>
    </row>
    <row r="11">
      <c r="A11" t="inlineStr">
        <is>
          <t>gamma bleed /yr</t>
        </is>
      </c>
      <c r="B11" t="inlineStr">
        <is>
          <t>0.16317</t>
        </is>
      </c>
      <c r="C11" t="inlineStr"/>
      <c r="D11" t="inlineStr"/>
      <c r="E11" s="2" t="inlineStr">
        <is>
          <t>fraction of notional</t>
        </is>
      </c>
    </row>
    <row r="12">
      <c r="A12" t="inlineStr">
        <is>
          <t>h_fair / h_eff</t>
        </is>
      </c>
      <c r="B12" t="inlineStr">
        <is>
          <t>14.90 bps</t>
        </is>
      </c>
      <c r="C12" t="inlineStr">
        <is>
          <t>18.63 bps</t>
        </is>
      </c>
      <c r="D12" t="inlineStr"/>
      <c r="E12" s="2" t="inlineStr">
        <is>
          <t>fair; vol-indexed quote (+25%)</t>
        </is>
      </c>
    </row>
    <row r="13">
      <c r="A13" t="inlineStr">
        <is>
          <t>Sigma notional</t>
        </is>
      </c>
      <c r="B13" t="inlineStr">
        <is>
          <t>300 BTC</t>
        </is>
      </c>
      <c r="C13" t="inlineStr">
        <is>
          <t>$19,708,650</t>
        </is>
      </c>
      <c r="D13" t="inlineStr"/>
      <c r="E13" s="2" t="inlineStr">
        <is>
          <t>margin x 10 pool leverage, both wings</t>
        </is>
      </c>
    </row>
    <row r="14">
      <c r="A14" t="inlineStr">
        <is>
          <t>fees / bleed per yr</t>
        </is>
      </c>
      <c r="B14" t="inlineStr">
        <is>
          <t>$4,019,813</t>
        </is>
      </c>
      <c r="C14" t="inlineStr">
        <is>
          <t>$3,215,850</t>
        </is>
      </c>
      <c r="D14" t="inlineStr"/>
      <c r="E14" s="2" t="inlineStr"/>
    </row>
    <row r="15">
      <c r="A15" t="inlineStr">
        <is>
          <t>base / levered APR</t>
        </is>
      </c>
      <c r="B15" t="inlineStr">
        <is>
          <t>4.1%</t>
        </is>
      </c>
      <c r="C15" t="inlineStr">
        <is>
          <t>81.6%</t>
        </is>
      </c>
      <c r="D15" t="inlineStr"/>
      <c r="E15" s="2" t="inlineStr">
        <is>
          <t>levered on equity = 15 BTC</t>
        </is>
      </c>
    </row>
    <row r="16">
      <c r="A16" t="inlineStr">
        <is>
          <t>break-even turnover</t>
        </is>
      </c>
      <c r="B16" t="inlineStr">
        <is>
          <t>0.24x/day</t>
        </is>
      </c>
      <c r="C16" t="inlineStr"/>
      <c r="D16" t="inlineStr"/>
      <c r="E16" s="2" t="inlineStr">
        <is>
          <t>vs 0.30x assumed</t>
        </is>
      </c>
    </row>
    <row r="17">
      <c r="A17" t="inlineStr">
        <is>
          <t>envelope @ k=12%: ask / bid / spread</t>
        </is>
      </c>
      <c r="B17" t="inlineStr">
        <is>
          <t>0.13567</t>
        </is>
      </c>
      <c r="C17" t="inlineStr">
        <is>
          <t>0.13523</t>
        </is>
      </c>
      <c r="D17" t="inlineStr">
        <is>
          <t>32.8 bps</t>
        </is>
      </c>
      <c r="E17" s="2" t="inlineStr">
        <is>
          <t>book spread (full); best-maker half-spread = 16.4 bps. Matches build-11 commit exactly.</t>
        </is>
      </c>
    </row>
    <row r="18">
      <c r="A18" t="inlineStr">
        <is>
          <t>depth shares YOU/Kappa/Delta/Sigma</t>
        </is>
      </c>
      <c r="B18" t="inlineStr">
        <is>
          <t>47.6%</t>
        </is>
      </c>
      <c r="C18" t="inlineStr">
        <is>
          <t>19.0%</t>
        </is>
      </c>
      <c r="D18" t="inlineStr">
        <is>
          <t>9.5% / 23.8%</t>
        </is>
      </c>
      <c r="E18" s="2" t="inlineStr">
        <is>
          <t>harmonic 1/lambda shares; lambda_agg = 0.00952</t>
        </is>
      </c>
    </row>
    <row r="19">
      <c r="A19" t="inlineStr">
        <is>
          <t>capacity centre / Sigma posted premium</t>
        </is>
      </c>
      <c r="B19" t="inlineStr">
        <is>
          <t>29%</t>
        </is>
      </c>
      <c r="C19" t="inlineStr">
        <is>
          <t>30.67 BTC</t>
        </is>
      </c>
      <c r="D19" t="inlineStr"/>
      <c r="E19" s="2" t="inlineStr"/>
    </row>
    <row r="20">
      <c r="A20" t="inlineStr">
        <is>
          <t>band example (sell +10% 5 BTC, buy -10%)</t>
        </is>
      </c>
      <c r="B20" t="inlineStr">
        <is>
          <t>0.6840 BTC proceeds</t>
        </is>
      </c>
      <c r="C20" t="inlineStr">
        <is>
          <t>5.2346 units</t>
        </is>
      </c>
      <c r="D20" t="inlineStr">
        <is>
          <t>dk=+0.00574</t>
        </is>
      </c>
      <c r="E20" s="2" t="inlineStr">
        <is>
          <t>S-bar/a/gamma unchanged</t>
        </is>
      </c>
    </row>
    <row r="22">
      <c r="A22" s="1" t="inlineStr">
        <is>
          <t>VOL SWEEP - vol-indexed vs fixed-spread mode, CURRENT build-11 code (levered APR):</t>
        </is>
      </c>
    </row>
    <row r="23">
      <c r="A23" s="3" t="inlineStr">
        <is>
          <t>realised vol</t>
        </is>
      </c>
      <c r="B23" s="3" t="inlineStr">
        <is>
          <t>h_fair (bps)</t>
        </is>
      </c>
      <c r="C23" s="3" t="inlineStr">
        <is>
          <t>vol-indexed lev APR</t>
        </is>
      </c>
      <c r="D23" s="3" t="inlineStr">
        <is>
          <t>fixed (fee=2%) lev APR</t>
        </is>
      </c>
      <c r="E23" s="3" t="inlineStr">
        <is>
          <t>note</t>
        </is>
      </c>
    </row>
    <row r="24">
      <c r="A24" t="inlineStr">
        <is>
          <t>20%</t>
        </is>
      </c>
      <c r="B24" t="inlineStr">
        <is>
          <t>1.7</t>
        </is>
      </c>
      <c r="C24" t="inlineStr">
        <is>
          <t>+9.1%</t>
        </is>
      </c>
      <c r="D24" t="inlineStr">
        <is>
          <t>+2153.7%</t>
        </is>
      </c>
    </row>
    <row r="25">
      <c r="A25" t="inlineStr">
        <is>
          <t>60%</t>
        </is>
      </c>
      <c r="B25" t="inlineStr">
        <is>
          <t>14.9</t>
        </is>
      </c>
      <c r="C25" t="inlineStr">
        <is>
          <t>+81.6%</t>
        </is>
      </c>
      <c r="D25" t="inlineStr">
        <is>
          <t>+1863.7%</t>
        </is>
      </c>
    </row>
    <row r="26">
      <c r="A26" t="inlineStr">
        <is>
          <t>120%</t>
        </is>
      </c>
      <c r="B26" t="inlineStr">
        <is>
          <t>59.6</t>
        </is>
      </c>
      <c r="C26" t="inlineStr">
        <is>
          <t>+326.3%</t>
        </is>
      </c>
      <c r="D26" t="inlineStr">
        <is>
          <t>+884.6%</t>
        </is>
      </c>
    </row>
    <row r="27" ht="60" customHeight="1">
      <c r="A27" s="2" t="inlineStr">
        <is>
          <t>FINDING (manager, 2026-08-18; skeptic re-derived): at the shipped default fee=0.02 (=100 bps half-spread) the fixed mode NEVER inverts within the RV slider range [10%,140%] - inversion needs RV &gt; 155.4% at fee=2%, or fee &lt; 1.62% at the slider max. The in-app fixed-mode caption ("watch the APR invert") therefore only demonstrates at lower fee settings. The headline APR contrast (vol-indexed +3.1/+27.7/+110.8% vs fixed +24.5/-74.0/-406.4% at RV 20/60/120%) is HISTORICAL and belongs to BUILD 1 (commit 75abb52, PRE the build-4 gamma-bleed basis fix) - not reproducible on build-11 defaults. [Corrected from "build-5" per skeptic FLAG F1.]</t>
        </is>
      </c>
    </row>
  </sheetData>
  <mergeCells count="1"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34" customWidth="1" min="3" max="3"/>
    <col width="30" customWidth="1" min="4" max="4"/>
    <col width="60" customWidth="1" min="5" max="5"/>
  </cols>
  <sheetData>
    <row r="1">
      <c r="A1" s="1" t="inlineStr">
        <is>
          <t>THE LEAN CORPUS — 5 packages, 130 theorems. All: #print axioms = {propext, Classical.choice, Quot.sound}; no sorry/admit/axiom/native_decide/opaque/unsafe; statements byte-identical to submission (the 4 Aristotle packages; v3-maps-lean was written in-repo, never submitted); locally kernel-verified (Lean 4.28.0, Mathlib oleans from CI cache - stated).</t>
        </is>
      </c>
    </row>
    <row r="3">
      <c r="A3" s="3" t="inlineStr">
        <is>
          <t>package</t>
        </is>
      </c>
      <c r="B3" s="3" t="inlineStr">
        <is>
          <t>#thms</t>
        </is>
      </c>
      <c r="C3" s="3" t="inlineStr">
        <is>
          <t>provenance (run / task IDs)</t>
        </is>
      </c>
      <c r="D3" s="3" t="inlineStr">
        <is>
          <t>what it proves for the RFQ app</t>
        </is>
      </c>
      <c r="E3" s="3" t="inlineStr">
        <is>
          <t>headline results</t>
        </is>
      </c>
    </row>
    <row r="4" ht="95" customHeight="1">
      <c r="A4" s="2" t="inlineStr">
        <is>
          <t>BURR2_CORE
formal/aristotle_runs/BURR2_CORE</t>
        </is>
      </c>
      <c r="B4" t="n">
        <v>42</v>
      </c>
      <c r="C4" s="2" t="inlineStr">
        <is>
          <t>Aristotle run 26958f2b-c7dc-4f1b-8240-64fdecb70ebf; locally kernel-re-verified 2026-08-14</t>
        </is>
      </c>
      <c r="D4" s="2" t="inlineStr">
        <is>
          <t>the quoting kernel itself: the exact closed form mk() evaluates</t>
        </is>
      </c>
      <c r="E4" s="2" t="inlineStr">
        <is>
          <t>burr2_parity (C-P=-k at EVERY strike; at k=0 parity IS the peg); the peg qR=WL/(WR+WL) DERIVED as the unique wing-meeting split; zero-strike anchor CALL(-1)=1, PUT(-1)=0; sign/order layer (CALL antitone+Lipschitz, PUT monotone) conditional on the TailRep incomplete-beta interface, non-vacuous by witness; apportionment: harmonic_law, shares_sum_one, apportionment_conserves. Incomplete beta = STRUCTURE FIELD, not an axiom.</t>
        </is>
      </c>
    </row>
    <row r="5" ht="95" customHeight="1">
      <c r="A5" s="2" t="inlineStr">
        <is>
          <t>BURR2_MIXTURE
formal/aristotle_runs/BURR2_MIXTURE</t>
        </is>
      </c>
      <c r="B5" t="n">
        <v>13</v>
      </c>
      <c r="C5" s="2" t="inlineStr">
        <is>
          <t>Aristotle run e95f6377-2071-4d76-9b43-94f29b591082; locally kernel-re-verified 2026-08-14</t>
        </is>
      </c>
      <c r="D5" s="2" t="inlineStr">
        <is>
          <t>what maker heterogeneity does to the Burr-2 book</t>
        </is>
      </c>
      <c r="E5" s="2" t="inlineStr">
        <is>
          <t>burr2_not_closed_under_mixture (+ the section-5 scale version, via a two-atom moment / Cauchy-Schwarz argument): Burr-2 is NOT closed under mixing. BUT exact identity (1/2)(D_g1+D_g2) = D_gbar * cosh(delta*Lc) =&gt; mixture = same shape x (1+O(delta^2)) - SECOND order, vs the single-lens wall which is first-order structural. The kernel change is what buys that mildness.</t>
        </is>
      </c>
    </row>
    <row r="6" ht="95" customHeight="1">
      <c r="A6" s="2" t="inlineStr">
        <is>
          <t>LOOP_LINK_A (pricing)
formal/aristotle_runs/LOOP_LINK_A_pricing</t>
        </is>
      </c>
      <c r="B6" t="n">
        <v>9</v>
      </c>
      <c r="C6" s="2" t="inlineStr">
        <is>
          <t>Aristotle project 20fa5993-74b2-49e4-b797-a5f17cbad7bf, task b1e0c962-86f7-4805-9af4-f47c8259b3af; PROVED + locally kernel-verified</t>
        </is>
      </c>
      <c r="D6" s="2" t="inlineStr">
        <is>
          <t>pricing &lt;-&gt; aggregation bridge (G2 CLOSED) + THE SMILE OBSTRUCTION</t>
        </is>
      </c>
      <c r="E6" s="2" t="inlineStr">
        <is>
          <t>engine_call_midconvex (g&gt;=1, via a global supporting line) discharges the standing MidConvex hypothesis for the v28 engine curve; atm_kink_bound in the STRONGER form (g+1)((g+1)/g)^g &gt;= 2g+1 for all g&gt;0; engine_book_arb_free / engine_book_parity (per-LP g_i book butterfly-arb-free, parity-anchored); mixture_not_single_lens: heterogeneous LP steepness generates a STRICT smile no single power-law lens can represent - A PROVED THEOREM. This is why the app makers share the LEVEL.</t>
        </is>
      </c>
    </row>
    <row r="7" ht="95" customHeight="1">
      <c r="A7" s="2" t="inlineStr">
        <is>
          <t>LOOP_LINK_B (settlement)
formal/aristotle_runs/LOOP_LINK_B_settlement</t>
        </is>
      </c>
      <c r="B7" t="n">
        <v>12</v>
      </c>
      <c r="C7" s="2" t="inlineStr">
        <is>
          <t>Aristotle project ce3c2190-14d4-430f-ad48-076f3c22fca7, task aa5f90f8-0b7d-4f52-ae30-2426ac4666d9; PROVED + locally kernel-verified</t>
        </is>
      </c>
      <c r="D7" s="2" t="inlineStr">
        <is>
          <t>units -&gt; cash settlement doorway (G3 CLOSED)</t>
        </is>
      </c>
      <c r="E7" s="2" t="inlineStr">
        <is>
          <t>doorway_arbfree_iff_common: a book netting in perp units with ONE common units-&gt;cash factor is arb-free, and ANY per-strike factor admits UNBOUNDED arb (witness: long 1/V_i, short 1/V_j = zero units, F_i - F_j cash, scalable). exit_timing_irrelevant: a netted-flat book settles to zero for every closing equity/leverage. "Dollars enter only at the very end" is a theorem.</t>
        </is>
      </c>
    </row>
    <row r="8" ht="95" customHeight="1">
      <c r="A8" s="2" t="inlineStr">
        <is>
          <t>v3-maps-lean (base layer)
sims/v3-maps-lean</t>
        </is>
      </c>
      <c r="B8" t="n">
        <v>54</v>
      </c>
      <c r="C8" s="2" t="inlineStr">
        <is>
          <t>operator maps + research-lead formalisation; locally kernel-checked 2026-08-14 (11 BOOK + 25 MAP + 18 BASIS)</t>
        </is>
      </c>
      <c r="D8" s="2" t="inlineStr">
        <is>
          <t>the book/aggregation layer under everything: parity/convexity aggregation, transport, ladder walk</t>
        </is>
      </c>
      <c r="E8" s="2" t="inlineStr">
        <is>
          <t>agg_parity (weights sum 1); agg_midconvex (nonneg weights, fixed-across-strikes enforced structurally); book_arb_free (butterfly leg); level_convex_iff_zero_spread_arbfree (genuine iff, strongest in the file); share_strike_invariant; beta_transport_parallel + walk_equiv/walk_cost_equiv (parallel-addition law EARNED from a stacked-ladder walk, interior case); shares_fixed_of_common_transport + common_transport_is_necessary (the vega dichotomy, exact).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34" customWidth="1" min="3" max="3"/>
    <col width="80" customWidth="1" min="4" max="4"/>
  </cols>
  <sheetData>
    <row r="1">
      <c r="A1" s="1" t="inlineStr">
        <is>
          <t>THEOREM-LEVEL LISTING — the four RFQ-specific packages, all 76 named theorems (BURR2_CORE 42 + MIXTURE 13 + LINK_A 9 + LINK_B 12; v3-maps 54 summarised on sheet 6, full names in its files).</t>
        </is>
      </c>
    </row>
    <row r="3">
      <c r="A3" s="3" t="inlineStr">
        <is>
          <t>package</t>
        </is>
      </c>
      <c r="B3" s="3" t="inlineStr">
        <is>
          <t>sect</t>
        </is>
      </c>
      <c r="C3" s="3" t="inlineStr">
        <is>
          <t>theorem</t>
        </is>
      </c>
      <c r="D3" s="3" t="inlineStr">
        <is>
          <t>one-line statement</t>
        </is>
      </c>
    </row>
    <row r="4">
      <c r="A4" t="inlineStr">
        <is>
          <t>BURR2_CORE (42)</t>
        </is>
      </c>
      <c r="B4" t="inlineStr">
        <is>
          <t>1</t>
        </is>
      </c>
      <c r="C4" s="2" t="inlineStr">
        <is>
          <t>sR_pos / sL_pos</t>
        </is>
      </c>
      <c r="D4" s="2" t="inlineStr">
        <is>
          <t>wing scales positive (|kappa|&lt;1, S-bar&gt;0).</t>
        </is>
      </c>
    </row>
    <row r="5">
      <c r="A5" t="inlineStr">
        <is>
          <t>BURR2_CORE (42)</t>
        </is>
      </c>
      <c r="B5" t="inlineStr">
        <is>
          <t>1</t>
        </is>
      </c>
      <c r="C5" s="2" t="inlineStr">
        <is>
          <t>uArg_eq_sheet</t>
        </is>
      </c>
      <c r="D5" s="2" t="inlineStr">
        <is>
          <t>the junk-safe beta argument equals the sheet form 1/(1+(s/m)^a) for s,m&gt;0.</t>
        </is>
      </c>
    </row>
    <row r="6">
      <c r="A6" t="inlineStr">
        <is>
          <t>BURR2_CORE (42)</t>
        </is>
      </c>
      <c r="B6" t="inlineStr">
        <is>
          <t>1</t>
        </is>
      </c>
      <c r="C6" s="2" t="inlineStr">
        <is>
          <t>tail_zero / tail_zero_R</t>
        </is>
      </c>
      <c r="D6" s="2" t="inlineStr">
        <is>
          <t>at the money the wing value is the FULL mass: T_s(0)=s*B/a; T_sR(0)=WR.</t>
        </is>
      </c>
    </row>
    <row r="7">
      <c r="A7" t="inlineStr">
        <is>
          <t>BURR2_CORE (42)</t>
        </is>
      </c>
      <c r="B7" t="inlineStr">
        <is>
          <t>1</t>
        </is>
      </c>
      <c r="C7" s="2" t="inlineStr">
        <is>
          <t>G1_pos / G1_lt_one</t>
        </is>
      </c>
      <c r="D7" s="2" t="inlineStr">
        <is>
          <t>the pedestal 0 &lt; G1 &lt; 1.</t>
        </is>
      </c>
    </row>
    <row r="8">
      <c r="A8" t="inlineStr">
        <is>
          <t>BURR2_CORE (42)</t>
        </is>
      </c>
      <c r="B8" t="inlineStr">
        <is>
          <t>1</t>
        </is>
      </c>
      <c r="C8" s="2" t="inlineStr">
        <is>
          <t>AR_zero / AL_zero / qR_add_qL</t>
        </is>
      </c>
      <c r="D8" s="2" t="inlineStr">
        <is>
          <t>ATM wing values qR*WR, qL*WL; qR+qL=1.</t>
        </is>
      </c>
    </row>
    <row r="9">
      <c r="A9" t="inlineStr">
        <is>
          <t>BURR2_CORE (42)</t>
        </is>
      </c>
      <c r="B9" t="inlineStr">
        <is>
          <t>2</t>
        </is>
      </c>
      <c r="C9" s="2" t="inlineStr">
        <is>
          <t>burr2_parity_of_ne</t>
        </is>
      </c>
      <c r="D9" s="2" t="inlineStr">
        <is>
          <t>CALL k - PUT k = -k for k != 0 - NO hypotheses (pure branch bookkeeping).</t>
        </is>
      </c>
    </row>
    <row r="10">
      <c r="A10" t="inlineStr">
        <is>
          <t>BURR2_CORE (42)</t>
        </is>
      </c>
      <c r="B10" t="inlineStr">
        <is>
          <t>2</t>
        </is>
      </c>
      <c r="C10" s="2" t="inlineStr">
        <is>
          <t>atm_wings_meet</t>
        </is>
      </c>
      <c r="D10" s="2" t="inlineStr">
        <is>
          <t>the peg makes AR(0)=AL(0) (hypothesis WR+WL != 0).</t>
        </is>
      </c>
    </row>
    <row r="11">
      <c r="A11" t="inlineStr">
        <is>
          <t>BURR2_CORE (42)</t>
        </is>
      </c>
      <c r="B11" t="inlineStr">
        <is>
          <t>2</t>
        </is>
      </c>
      <c r="C11" s="2" t="inlineStr">
        <is>
          <t>burr2_parity</t>
        </is>
      </c>
      <c r="D11" s="2" t="inlineStr">
        <is>
          <t>TARGET: CALL k - PUT k = -k at EVERY strike.</t>
        </is>
      </c>
    </row>
    <row r="12">
      <c r="A12" t="inlineStr">
        <is>
          <t>BURR2_CORE (42)</t>
        </is>
      </c>
      <c r="B12" t="inlineStr">
        <is>
          <t>3</t>
        </is>
      </c>
      <c r="C12" s="2" t="inlineStr">
        <is>
          <t>AL_glue</t>
        </is>
      </c>
      <c r="D12" s="2" t="inlineStr">
        <is>
          <t>the left wing closed form already vanishes at the zero-strike edge (no glue constant).</t>
        </is>
      </c>
    </row>
    <row r="13">
      <c r="A13" t="inlineStr">
        <is>
          <t>BURR2_CORE (42)</t>
        </is>
      </c>
      <c r="B13" t="inlineStr">
        <is>
          <t>3</t>
        </is>
      </c>
      <c r="C13" s="2" t="inlineStr">
        <is>
          <t>call_at_zero_strike / put_at_zero_strike</t>
        </is>
      </c>
      <c r="D13" s="2" t="inlineStr">
        <is>
          <t>CALL(-1)=1 (the whole coin); PUT(-1)=0.</t>
        </is>
      </c>
    </row>
    <row r="14">
      <c r="A14" t="inlineStr">
        <is>
          <t>BURR2_CORE (42)</t>
        </is>
      </c>
      <c r="B14" t="inlineStr">
        <is>
          <t>4</t>
        </is>
      </c>
      <c r="C14" s="2" t="inlineStr">
        <is>
          <t>kern_pos / kern_le_one / kern_antitone</t>
        </is>
      </c>
      <c r="D14" s="2" t="inlineStr">
        <is>
          <t>kernel in (0,1], decreasing.</t>
        </is>
      </c>
    </row>
    <row r="15">
      <c r="A15" t="inlineStr">
        <is>
          <t>BURR2_CORE (42)</t>
        </is>
      </c>
      <c r="B15" t="inlineStr">
        <is>
          <t>4</t>
        </is>
      </c>
      <c r="C15" s="2" t="inlineStr">
        <is>
          <t>tail_antitone</t>
        </is>
      </c>
      <c r="D15" s="2" t="inlineStr">
        <is>
          <t>wing tails decrease in |k| (proved for ARBITRARY s via two bridge lemmas from the TailRep sandwich - no added hypothesis).</t>
        </is>
      </c>
    </row>
    <row r="16">
      <c r="A16" t="inlineStr">
        <is>
          <t>BURR2_CORE (42)</t>
        </is>
      </c>
      <c r="B16" t="inlineStr">
        <is>
          <t>4</t>
        </is>
      </c>
      <c r="C16" s="2" t="inlineStr">
        <is>
          <t>WR_pos / WL_nonneg / qR,qL in [0,1] (4 thms)</t>
        </is>
      </c>
      <c r="D16" s="2" t="inlineStr">
        <is>
          <t>masses and peg weights well-signed.</t>
        </is>
      </c>
    </row>
    <row r="17">
      <c r="A17" t="inlineStr">
        <is>
          <t>BURR2_CORE (42)</t>
        </is>
      </c>
      <c r="B17" t="inlineStr">
        <is>
          <t>4</t>
        </is>
      </c>
      <c r="C17" s="2" t="inlineStr">
        <is>
          <t>AR/AL/CALL/PUT_nonneg (4 thms)</t>
        </is>
      </c>
      <c r="D17" s="2" t="inlineStr">
        <is>
          <t>no negative quote anywhere.</t>
        </is>
      </c>
    </row>
    <row r="18">
      <c r="A18" t="inlineStr">
        <is>
          <t>BURR2_CORE (42)</t>
        </is>
      </c>
      <c r="B18" t="inlineStr">
        <is>
          <t>4</t>
        </is>
      </c>
      <c r="C18" s="2" t="inlineStr">
        <is>
          <t>ALm_lipschitz / ALm_antitone</t>
        </is>
      </c>
      <c r="D18" s="2" t="inlineStr">
        <is>
          <t>left wing modulus function Lipschitz + antitone (across the |k|=1 cutoff).</t>
        </is>
      </c>
    </row>
    <row r="19">
      <c r="A19" t="inlineStr">
        <is>
          <t>BURR2_CORE (42)</t>
        </is>
      </c>
      <c r="B19" t="inlineStr">
        <is>
          <t>4</t>
        </is>
      </c>
      <c r="C19" s="2" t="inlineStr">
        <is>
          <t>CALL_antitone / CALL_lipschitz / PUT_monotone</t>
        </is>
      </c>
      <c r="D19" s="2" t="inlineStr">
        <is>
          <t>calls fall (Lipschitz-ly) and puts rise in k - hover quoting is order-sane at every strike.</t>
        </is>
      </c>
    </row>
    <row r="20">
      <c r="A20" t="inlineStr">
        <is>
          <t>BURR2_CORE (42)</t>
        </is>
      </c>
      <c r="B20" t="inlineStr">
        <is>
          <t>5</t>
        </is>
      </c>
      <c r="C20" s="2" t="inlineStr">
        <is>
          <t>tail_witness / tailRep_witness</t>
        </is>
      </c>
      <c r="D20" s="2" t="inlineStr">
        <is>
          <t>TailRep is non-vacuous: explicit instance (a=gamma=1, ibeta=id) - section 4 is not vacuous.</t>
        </is>
      </c>
    </row>
    <row r="21">
      <c r="A21" t="inlineStr">
        <is>
          <t>BURR2_CORE (42)</t>
        </is>
      </c>
      <c r="B21" t="inlineStr">
        <is>
          <t>6</t>
        </is>
      </c>
      <c r="C21" s="2" t="inlineStr">
        <is>
          <t>harmonic_law</t>
        </is>
      </c>
      <c r="D21" s="2" t="inlineStr">
        <is>
          <t>1/lambda_agg = Sigma 1/lambda_i.</t>
        </is>
      </c>
    </row>
    <row r="22">
      <c r="A22" t="inlineStr">
        <is>
          <t>BURR2_CORE (42)</t>
        </is>
      </c>
      <c r="B22" t="inlineStr">
        <is>
          <t>6</t>
        </is>
      </c>
      <c r="C22" s="2" t="inlineStr">
        <is>
          <t>shares_sum_one / share_eq_agg_ratio / share_nonneg</t>
        </is>
      </c>
      <c r="D22" s="2" t="inlineStr">
        <is>
          <t>depth shares are a probability vector; share_i = lambda_agg/lambda_i.</t>
        </is>
      </c>
    </row>
    <row r="23">
      <c r="A23" t="inlineStr">
        <is>
          <t>BURR2_CORE (42)</t>
        </is>
      </c>
      <c r="B23" t="inlineStr">
        <is>
          <t>6</t>
        </is>
      </c>
      <c r="C23" s="2" t="inlineStr">
        <is>
          <t>apportionment_conserves</t>
        </is>
      </c>
      <c r="D23" s="2" t="inlineStr">
        <is>
          <t>the cheapest-first fill walk conserves total revenue across makers.</t>
        </is>
      </c>
    </row>
    <row r="24">
      <c r="A24" t="inlineStr">
        <is>
          <t>BURR2_MIXTURE (13)</t>
        </is>
      </c>
      <c r="B24" t="inlineStr">
        <is>
          <t>1</t>
        </is>
      </c>
      <c r="C24" s="2" t="inlineStr">
        <is>
          <t>base_pos / kern_eq_exp / kern_pos / Lc_pos / Lc_surj</t>
        </is>
      </c>
      <c r="D24" s="2" t="inlineStr">
        <is>
          <t>log-coordinate setup: kernel = exp(-(gamma+1)/a * Lc), Lc positive + surjective.</t>
        </is>
      </c>
    </row>
    <row r="25">
      <c r="A25" t="inlineStr">
        <is>
          <t>BURR2_MIXTURE (13)</t>
        </is>
      </c>
      <c r="B25" t="inlineStr">
        <is>
          <t>2</t>
        </is>
      </c>
      <c r="C25" s="2" t="inlineStr">
        <is>
          <t>mixture_eq_cosh / mid_le_mixture / mid_lt_mixture</t>
        </is>
      </c>
      <c r="D25" s="2" t="inlineStr">
        <is>
          <t>EXACT: (1/2)(D_g1 + D_g2) = D_gbar * cosh(delta*Lc); mixture sits strictly above the midpoint member when g1 != g2.</t>
        </is>
      </c>
    </row>
    <row r="26">
      <c r="A26" t="inlineStr">
        <is>
          <t>BURR2_MIXTURE (13)</t>
        </is>
      </c>
      <c r="B26" t="inlineStr">
        <is>
          <t>3</t>
        </is>
      </c>
      <c r="C26" s="2" t="inlineStr">
        <is>
          <t>burr2_not_closed_under_mixture</t>
        </is>
      </c>
      <c r="D26" s="2" t="inlineStr">
        <is>
          <t>no Burr-2 member equals a nontrivial gamma-mixture (certificate: cosh(delta)=1 forces delta=0).</t>
        </is>
      </c>
    </row>
    <row r="27">
      <c r="A27" t="inlineStr">
        <is>
          <t>BURR2_MIXTURE (13)</t>
        </is>
      </c>
      <c r="B27" t="inlineStr">
        <is>
          <t>4</t>
        </is>
      </c>
      <c r="C27" s="2" t="inlineStr">
        <is>
          <t>cosh_sub_one_le / mixture_rel_error_le / mixture_aggregate_le</t>
        </is>
      </c>
      <c r="D27" s="2" t="inlineStr">
        <is>
          <t>cosh x - 1 &lt;= x^2/2 * cosh x =&gt; the mixture error is SECOND order in the gamma gap.</t>
        </is>
      </c>
    </row>
    <row r="28">
      <c r="A28" t="inlineStr">
        <is>
          <t>BURR2_MIXTURE (13)</t>
        </is>
      </c>
      <c r="B28" t="inlineStr">
        <is>
          <t>5</t>
        </is>
      </c>
      <c r="C28" s="2" t="inlineStr">
        <is>
          <t>burr2_not_closed_under_mixture_scale</t>
        </is>
      </c>
      <c r="D28" s="2" t="inlineStr">
        <is>
          <t>stretch target: also not closed under SCALE (s) mixing - two-atom moment + Cauchy-Schwarz equality forces s1=s2.</t>
        </is>
      </c>
    </row>
    <row r="29">
      <c r="A29" t="inlineStr">
        <is>
          <t>LOOP_LINK_A (9)</t>
        </is>
      </c>
      <c r="B29" t="inlineStr">
        <is>
          <t>-</t>
        </is>
      </c>
      <c r="C29" s="2" t="inlineStr">
        <is>
          <t>engine_parity</t>
        </is>
      </c>
      <c r="D29" s="2" t="inlineStr">
        <is>
          <t>engineCall - enginePut = -k definitionally.</t>
        </is>
      </c>
    </row>
    <row r="30">
      <c r="A30" t="inlineStr">
        <is>
          <t>LOOP_LINK_A (9)</t>
        </is>
      </c>
      <c r="B30" t="inlineStr">
        <is>
          <t>-</t>
        </is>
      </c>
      <c r="C30" s="2" t="inlineStr">
        <is>
          <t>atmMark_pos</t>
        </is>
      </c>
      <c r="D30" s="2" t="inlineStr">
        <is>
          <t>the shipped ATM constant A_g = 1/((g+1)((g+1)/g)^g) &gt; 0.</t>
        </is>
      </c>
    </row>
    <row r="31">
      <c r="A31" t="inlineStr">
        <is>
          <t>LOOP_LINK_A (9)</t>
        </is>
      </c>
      <c r="B31" t="inlineStr">
        <is>
          <t>-</t>
        </is>
      </c>
      <c r="C31" s="2" t="inlineStr">
        <is>
          <t>atm_kink_bound</t>
        </is>
      </c>
      <c r="D31" s="2" t="inlineStr">
        <is>
          <t>STRONG form (g+1)((g+1)/g)^g &gt;= 2g+1 for ALL g&gt;0 (=&gt; 2g*A_g &lt;= 1, the sharp ATM slope condition).</t>
        </is>
      </c>
    </row>
    <row r="32">
      <c r="A32" t="inlineStr">
        <is>
          <t>LOOP_LINK_A (9)</t>
        </is>
      </c>
      <c r="B32" t="inlineStr">
        <is>
          <t>-</t>
        </is>
      </c>
      <c r="C32" s="2" t="inlineStr">
        <is>
          <t>engine_call_midconvex</t>
        </is>
      </c>
      <c r="D32" s="2" t="inlineStr">
        <is>
          <t>THE BRIDGE: the engine smooth-paste curve is midpoint convex for g &gt;= 1 (global supporting line at every point).</t>
        </is>
      </c>
    </row>
    <row r="33">
      <c r="A33" t="inlineStr">
        <is>
          <t>LOOP_LINK_A (9)</t>
        </is>
      </c>
      <c r="B33" t="inlineStr">
        <is>
          <t>-</t>
        </is>
      </c>
      <c r="C33" s="2" t="inlineStr">
        <is>
          <t>engine_book_arb_free / engine_book_parity</t>
        </is>
      </c>
      <c r="D33" s="2" t="inlineStr">
        <is>
          <t>a book of LPs each with its OWN exponent g_i is butterfly-arb-free and parity-anchored.</t>
        </is>
      </c>
    </row>
    <row r="34">
      <c r="A34" t="inlineStr">
        <is>
          <t>LOOP_LINK_A (9)</t>
        </is>
      </c>
      <c r="B34" t="inlineStr">
        <is>
          <t>-</t>
        </is>
      </c>
      <c r="C34" s="2" t="inlineStr">
        <is>
          <t>engine_log_affine</t>
        </is>
      </c>
      <c r="D34" s="2" t="inlineStr">
        <is>
          <t>a single lens is log-AFFINE in log-strike OTM.</t>
        </is>
      </c>
    </row>
    <row r="35">
      <c r="A35" t="inlineStr">
        <is>
          <t>LOOP_LINK_A (9)</t>
        </is>
      </c>
      <c r="B35" t="inlineStr">
        <is>
          <t>-</t>
        </is>
      </c>
      <c r="C35" s="2" t="inlineStr">
        <is>
          <t>mixture_strict_log_convex</t>
        </is>
      </c>
      <c r="D35" s="2" t="inlineStr">
        <is>
          <t>a nontrivial mixture of two distinct lenses is strictly log-CONVEX there (Cauchy-Schwarz).</t>
        </is>
      </c>
    </row>
    <row r="36">
      <c r="A36" t="inlineStr">
        <is>
          <t>LOOP_LINK_A (9)</t>
        </is>
      </c>
      <c r="B36" t="inlineStr">
        <is>
          <t>-</t>
        </is>
      </c>
      <c r="C36" s="2" t="inlineStr">
        <is>
          <t>mixture_not_single_lens</t>
        </is>
      </c>
      <c r="D36" s="2" t="inlineStr">
        <is>
          <t>THE SMILE OBSTRUCTION: the aggregate OTM mark equals c*(1+k)^(-g) for NO c&gt;0 and NO g.</t>
        </is>
      </c>
    </row>
    <row r="37">
      <c r="A37" t="inlineStr">
        <is>
          <t>LOOP_LINK_B (12)</t>
        </is>
      </c>
      <c r="B37" t="inlineStr">
        <is>
          <t>-</t>
        </is>
      </c>
      <c r="C37" s="2" t="inlineStr">
        <is>
          <t>units_add / units_smul / cashOne_add</t>
        </is>
      </c>
      <c r="D37" s="2" t="inlineStr">
        <is>
          <t>netting in perp units is linear and well-defined.</t>
        </is>
      </c>
    </row>
    <row r="38">
      <c r="A38" t="inlineStr">
        <is>
          <t>LOOP_LINK_B (12)</t>
        </is>
      </c>
      <c r="B38" t="inlineStr">
        <is>
          <t>-</t>
        </is>
      </c>
      <c r="C38" s="2" t="inlineStr">
        <is>
          <t>cashOne_zero_iff / cashOne_pos_iff</t>
        </is>
      </c>
      <c r="D38" s="2" t="inlineStr">
        <is>
          <t>the common doorway neither creates value nor flips a sign.</t>
        </is>
      </c>
    </row>
    <row r="39">
      <c r="A39" t="inlineStr">
        <is>
          <t>LOOP_LINK_B (12)</t>
        </is>
      </c>
      <c r="B39" t="inlineStr">
        <is>
          <t>-</t>
        </is>
      </c>
      <c r="C39" s="2" t="inlineStr">
        <is>
          <t>exit_timing_irrelevant</t>
        </is>
      </c>
      <c r="D39" s="2" t="inlineStr">
        <is>
          <t>a netted-flat book settles to zero cash for EVERY closing equity and leverage - the doorway cannot be timed.</t>
        </is>
      </c>
    </row>
    <row r="40">
      <c r="A40" t="inlineStr">
        <is>
          <t>LOOP_LINK_B (12)</t>
        </is>
      </c>
      <c r="B40" t="inlineStr">
        <is>
          <t>-</t>
        </is>
      </c>
      <c r="C40" s="2" t="inlineStr">
        <is>
          <t>common_doorway_arbfree</t>
        </is>
      </c>
      <c r="D40" s="2" t="inlineStr">
        <is>
          <t>zero net units =&gt; zero cash under one common factor.</t>
        </is>
      </c>
    </row>
    <row r="41">
      <c r="A41" t="inlineStr">
        <is>
          <t>LOOP_LINK_B (12)</t>
        </is>
      </c>
      <c r="B41" t="inlineStr">
        <is>
          <t>-</t>
        </is>
      </c>
      <c r="C41" s="2" t="inlineStr">
        <is>
          <t>common_doorway_necessary</t>
        </is>
      </c>
      <c r="D41" s="2" t="inlineStr">
        <is>
          <t>arb-freeness FORCES the factor to be common across strikes.</t>
        </is>
      </c>
    </row>
    <row r="42">
      <c r="A42" t="inlineStr">
        <is>
          <t>LOOP_LINK_B (12)</t>
        </is>
      </c>
      <c r="B42" t="inlineStr">
        <is>
          <t>-</t>
        </is>
      </c>
      <c r="C42" s="2" t="inlineStr">
        <is>
          <t>per_strike_doorway_unbounded_arb</t>
        </is>
      </c>
      <c r="D42" s="2" t="inlineStr">
        <is>
          <t>F_i != F_j =&gt; unbounded arbitrage (explicit witness long 1/V_i short 1/V_j).</t>
        </is>
      </c>
    </row>
    <row r="43">
      <c r="A43" t="inlineStr">
        <is>
          <t>LOOP_LINK_B (12)</t>
        </is>
      </c>
      <c r="B43" t="inlineStr">
        <is>
          <t>-</t>
        </is>
      </c>
      <c r="C43" s="2" t="inlineStr">
        <is>
          <t>doorway_arbfree_iff_common</t>
        </is>
      </c>
      <c r="D43" s="2" t="inlineStr">
        <is>
          <t>THE IFF: arb-free &lt;=&gt; the units-&gt;cash factor is common. G3 closed.</t>
        </is>
      </c>
    </row>
    <row r="44">
      <c r="A44" t="inlineStr">
        <is>
          <t>LOOP_LINK_B (12)</t>
        </is>
      </c>
      <c r="B44" t="inlineStr">
        <is>
          <t>-</t>
        </is>
      </c>
      <c r="C44" s="2" t="inlineStr">
        <is>
          <t>cashPer_const_eq_cashOne / net_then_convert_eq_convert_then_net</t>
        </is>
      </c>
      <c r="D44" s="2" t="inlineStr">
        <is>
          <t>constant per-strike factor collapses to the single doorway; net-then-convert = convert-then-net.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20" customWidth="1" min="3" max="3"/>
    <col width="56" customWidth="1" min="4" max="4"/>
  </cols>
  <sheetData>
    <row r="1">
      <c r="A1" s="1" t="inlineStr">
        <is>
          <t>MECHANISM-BY-MECHANISM: what in the app is backed by what in Lean, and what is NOT.</t>
        </is>
      </c>
    </row>
    <row r="3">
      <c r="A3" s="3" t="inlineStr">
        <is>
          <t>app mechanism (code)</t>
        </is>
      </c>
      <c r="B3" s="3" t="inlineStr">
        <is>
          <t>Lean backing</t>
        </is>
      </c>
      <c r="C3" s="3" t="inlineStr">
        <is>
          <t>status</t>
        </is>
      </c>
      <c r="D3" s="3" t="inlineStr">
        <is>
          <t>honest caveat</t>
        </is>
      </c>
    </row>
    <row r="4" ht="55" customHeight="1">
      <c r="A4" s="2" t="inlineStr">
        <is>
          <t>mk() closed form (L233-240)</t>
        </is>
      </c>
      <c r="B4" s="2" t="inlineStr">
        <is>
          <t>BURR2_CORE section 0 defs (sR, sL, kern, tail, G1, I1, WR, WL, qR, AR, AL, CALL, PUT)</t>
        </is>
      </c>
      <c r="C4" t="inlineStr">
        <is>
          <t>MIRRORED</t>
        </is>
      </c>
      <c r="D4" s="2" t="inlineStr">
        <is>
          <t>defs mirror the JS statement-by-statement; the JS-to-Lean transcription is asserted, not proved. Numeric bridge: sheet 5 spot checks.</t>
        </is>
      </c>
    </row>
    <row r="5" ht="55" customHeight="1">
      <c r="A5" s="2" t="inlineStr">
        <is>
          <t>parity readout r-par (L395)</t>
        </is>
      </c>
      <c r="B5" s="2" t="inlineStr">
        <is>
          <t>burr2_parity / burr2_parity_of_ne / atm_wings_meet</t>
        </is>
      </c>
      <c r="C5" t="inlineStr">
        <is>
          <t>PROVED</t>
        </is>
      </c>
      <c r="D5" s="2" t="inlineStr">
        <is>
          <t>numeric: exact 0 off-ATM, 2.4e-13 at ATM (ibeta continued fraction) - one phenomenon per the Lean.</t>
        </is>
      </c>
    </row>
    <row r="6" ht="55" customHeight="1">
      <c r="A6" s="2" t="inlineStr">
        <is>
          <t>any-strike hover quoting (no ladder)</t>
        </is>
      </c>
      <c r="B6" s="2" t="inlineStr">
        <is>
          <t>CALL/PUT total functions; CALL_antitone, CALL_lipschitz, PUT_monotone</t>
        </is>
      </c>
      <c r="C6" t="inlineStr">
        <is>
          <t>PROVED (conditional)</t>
        </is>
      </c>
      <c r="D6" s="2" t="inlineStr">
        <is>
          <t>sign/order layer conditional on TailRep (non-vacuous, but the witness is a toy - the real ibeta instance is unproved).</t>
        </is>
      </c>
    </row>
    <row r="7" ht="55" customHeight="1">
      <c r="A7" s="2" t="inlineStr">
        <is>
          <t>common-level rule + cross detector (makerCurves)</t>
        </is>
      </c>
      <c r="B7" s="2" t="inlineStr">
        <is>
          <t>mixture_not_single_lens (motivates the shared level) + BURR2_MIXTURE (Burr-2 gamma/scale mixtures, second-order bound)</t>
        </is>
      </c>
      <c r="C7" t="inlineStr">
        <is>
          <t>PROVED (motivates, does not force)</t>
        </is>
      </c>
      <c r="D7" s="2" t="inlineStr">
        <is>
          <t>the obstruction is proved for the single-POWER-LAW lens family, not for Burr-2, where the mixture effect is second-order and re-fit is practically viable (entry 529) - so common level is a design CHOICE here. Bound caveats: midpoint member, near-the-money scope; joint non-closure over all 4 params unproved. The build-11 crossed book was a level-disagreement failure, distinct from the smile obstruction.</t>
        </is>
      </c>
    </row>
    <row r="8" ht="55" customHeight="1">
      <c r="A8" s="2" t="inlineStr">
        <is>
          <t>depth shares + RFQ pay-own-spread walk (aggBook/renderTransact)</t>
        </is>
      </c>
      <c r="B8" s="2" t="inlineStr">
        <is>
          <t>harmonic_law, shares_sum_one, share_eq_agg_ratio, apportionment_conserves; share_strike_invariant, walk_equiv (v3-maps)</t>
        </is>
      </c>
      <c r="C8" t="inlineStr">
        <is>
          <t>PROVED</t>
        </is>
      </c>
      <c r="D8" s="2" t="inlineStr">
        <is>
          <t>walk_equiv is the interior case (all LPs active); segmented/active-set form explicitly unproved.</t>
        </is>
      </c>
    </row>
    <row r="9" ht="55" customHeight="1">
      <c r="A9" s="2" t="inlineStr">
        <is>
          <t>envelope book arb-freeness</t>
        </is>
      </c>
      <c r="B9" s="2" t="inlineStr">
        <is>
          <t>agg_midconvex + book_arb_free (v3-maps, MidConvex hypothesis); engine_call_midconvex discharges it for the v28 ENGINE curve</t>
        </is>
      </c>
      <c r="C9" t="inlineStr">
        <is>
          <t>PARTIAL</t>
        </is>
      </c>
      <c r="D9" s="2" t="inlineStr">
        <is>
          <t>THE BURR-2 MIDCONVEX BRIDGE IS NOT PROVED - the arb-free chain attaches to the engine power-law curve, and only hypothesis-conditionally to the Burr-2 curve the app quotes. Named the next obligation in commit 269a6a3. Also: "arb-free" = butterfly leg only (no unconditional vertical leg, no price bounds).</t>
        </is>
      </c>
    </row>
    <row r="10" ht="55" customHeight="1">
      <c r="A10" s="2" t="inlineStr">
        <is>
          <t>one $ conversion at exit (usd(), single S)</t>
        </is>
      </c>
      <c r="B10" s="2" t="inlineStr">
        <is>
          <t>doorway_arbfree_iff_common + exit_timing_irrelevant</t>
        </is>
      </c>
      <c r="C10" t="inlineStr">
        <is>
          <t>PROVED</t>
        </is>
      </c>
      <c r="D10" s="2" t="inlineStr">
        <is>
          <t>model-level; the app is a sim, no on-chain settlement exists here.</t>
        </is>
      </c>
    </row>
    <row r="11" ht="55" customHeight="1">
      <c r="A11" s="2" t="inlineStr">
        <is>
          <t>trade bands (kappa-only move)</t>
        </is>
      </c>
      <c r="B11" s="2" t="inlineStr">
        <is>
          <t>- none -</t>
        </is>
      </c>
      <c r="C11" t="inlineStr">
        <is>
          <t>OPEN</t>
        </is>
      </c>
      <c r="D11" s="2" t="inlineStr">
        <is>
          <t>kappa dynamics entirely unformalised (stated in 269a6a3).</t>
        </is>
      </c>
    </row>
    <row r="12" ht="55" customHeight="1">
      <c r="A12" s="2" t="inlineStr">
        <is>
          <t>gamma bleed / vol-indexed spread economics</t>
        </is>
      </c>
      <c r="B12" s="2" t="inlineStr">
        <is>
          <t>- none -</t>
        </is>
      </c>
      <c r="C12" t="inlineStr">
        <is>
          <t>OPEN</t>
        </is>
      </c>
      <c r="D12" s="2" t="inlineStr">
        <is>
          <t>economic model, no Lean; realtime LP tuning risks (adverse selection, correlated withdrawal, herding) recorded at entry 541, unmodelled.</t>
        </is>
      </c>
    </row>
    <row r="13" ht="55" customHeight="1">
      <c r="A13" s="2" t="inlineStr">
        <is>
          <t>portfolio hedge readback (renderPortfolio)</t>
        </is>
      </c>
      <c r="B13" s="2" t="inlineStr">
        <is>
          <t>- none - (v3-maps G1: Exposure cited in its README but ABSENT from the .lean files)</t>
        </is>
      </c>
      <c r="C13" t="inlineStr">
        <is>
          <t>OPEN (mislabel risk)</t>
        </is>
      </c>
      <c r="D13" s="2" t="inlineStr">
        <is>
          <t>re-verified absent 2026-08-18. The README/loop-map citation must be fixed or the ~10 lines written before this backing is described externally. ALSO: the UI's "residual exposure 0.000000" is a hardcoded string over the definitional identity hedge := -netDelta (closure-by-construction, same pattern as loop-audit sec 3(i)); a wrong Delta still reads back to zero, and the demo put-leg delta is in fact not parity-consistent (F-1).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90" customWidth="1" min="4" max="4"/>
  </cols>
  <sheetData>
    <row r="1">
      <c r="A1" s="1" t="inlineStr">
        <is>
          <t>BUILD HISTORY 1-11 (all 2026-08-14). Operator fragments from commit messages - the session transcript is MISSING (see corrigendum).</t>
        </is>
      </c>
    </row>
    <row r="3">
      <c r="A3" s="3" t="inlineStr">
        <is>
          <t>build</t>
        </is>
      </c>
      <c r="B3" s="3" t="inlineStr">
        <is>
          <t>commit</t>
        </is>
      </c>
      <c r="C3" s="3" t="inlineStr">
        <is>
          <t>title</t>
        </is>
      </c>
      <c r="D3" s="3" t="inlineStr">
        <is>
          <t>what changed / operator direction</t>
        </is>
      </c>
    </row>
    <row r="4" ht="48" customHeight="1">
      <c r="A4" t="n">
        <v>1</v>
      </c>
      <c r="B4" t="inlineStr">
        <is>
          <t>75abb52</t>
        </is>
      </c>
      <c r="C4" t="inlineStr">
        <is>
          <t>Temporal MM console - Burr-2 RFQ book</t>
        </is>
      </c>
      <c r="D4" s="2" t="inlineStr">
        <is>
          <t>Single-file index.html (Burr-2 math in JS incl. incomplete beta via continued fraction) + node server + railway.json. Panels: quote params, market, curve vs aggregate book, RFQ ladder, makers, P&amp;L, risk. Parity exact headless. THIS commit carries the historical vol-indexed vs fixed-spread APR headline (+3.1/+27.7/+110.8 vs +24.5/-74.0/-406.4) - BUILD-1, PRE-basis-fix calibration (sheet 5).</t>
        </is>
      </c>
    </row>
    <row r="5" ht="48" customHeight="1">
      <c r="A5" t="n">
        <v>2</v>
      </c>
      <c r="B5" t="inlineStr">
        <is>
          <t>269a6a3</t>
        </is>
      </c>
      <c r="C5" t="inlineStr">
        <is>
          <t>Deployed to Railway + Burr-2 Lean landed</t>
        </is>
      </c>
      <c r="D5" s="2" t="inlineStr">
        <is>
          <t>Live at web-production-cc265.up.railway.app (PORT fix). BURR2_CORE 42 + BURR2_MIXTURE 13 all proved + locally kernel-re-verified. Two corrections to the brief: parity at k=0 IS the peg; the peg is DERIVED.</t>
        </is>
      </c>
    </row>
    <row r="6" ht="48" customHeight="1">
      <c r="A6" t="n">
        <v>3</v>
      </c>
      <c r="B6" t="inlineStr">
        <is>
          <t>0e2b10a</t>
        </is>
      </c>
      <c r="C6" t="inlineStr">
        <is>
          <t>Rebuild on operator's actual LP UX (rung schedule)</t>
        </is>
      </c>
      <c r="D6" s="2" t="inlineStr">
        <is>
          <t>MM console rebuilt around the reference design.</t>
        </is>
      </c>
    </row>
    <row r="7" ht="48" customHeight="1">
      <c r="A7" t="n">
        <v>4</v>
      </c>
      <c r="B7" t="inlineStr">
        <is>
          <t>8dfd02e</t>
        </is>
      </c>
      <c r="C7" t="inlineStr">
        <is>
          <t>Rebuild on the reference design system + gamma-bleed BASIS fix</t>
        </is>
      </c>
      <c r="D7" s="2" t="inlineStr">
        <is>
          <t>Design tokens; bleed basis corrected to notional.</t>
        </is>
      </c>
    </row>
    <row r="8" ht="48" customHeight="1">
      <c r="A8" t="n">
        <v>6</v>
      </c>
      <c r="B8" t="inlineStr">
        <is>
          <t>caf6c71</t>
        </is>
      </c>
      <c r="C8" t="inlineStr">
        <is>
          <t>Strip the rung ladder - continuous quoting</t>
        </is>
      </c>
      <c r="D8" s="2" t="inlineStr">
        <is>
          <t>Operator: "that was the OB" - take the reference UX ELEMENTS, not the orderbook MECHANICS. Rungs -&gt; continuous capacity density; quote sheet sampled; depth control = BTC per 1% strike.</t>
        </is>
      </c>
    </row>
    <row r="9" ht="48" customHeight="1">
      <c r="A9" t="n">
        <v>8</v>
      </c>
      <c r="B9" t="inlineStr">
        <is>
          <t>07370be</t>
        </is>
      </c>
      <c r="C9" t="inlineStr">
        <is>
          <t>BID and ASK as first-class separate curves + spread magnifier</t>
        </is>
      </c>
      <c r="D9" s="2" t="inlineStr">
        <is>
          <t>Operator: "still seeing rungs, not seeing buy and sell curves separately." Two curve sets per wing, filled spread band (= the revenue), x25 magnifier with honest caption, build stamp against browser cache.</t>
        </is>
      </c>
    </row>
    <row r="10" ht="48" customHeight="1">
      <c r="A10" t="n">
        <v>9</v>
      </c>
      <c r="B10" t="inlineStr">
        <is>
          <t>7650a2a</t>
        </is>
      </c>
      <c r="C10" t="inlineStr">
        <is>
          <t>Any-strike quoter replaces the sampled quote sheet</t>
        </is>
      </c>
      <c r="D10" s="2" t="inlineStr">
        <is>
          <t>Operator: discrete quotes read as a ladder. Live quote-any-strike panel from the closed form.</t>
        </is>
      </c>
    </row>
    <row r="11" ht="48" customHeight="1">
      <c r="A11" t="n">
        <v>10</v>
      </c>
      <c r="B11" t="inlineStr">
        <is>
          <t>7fd1325</t>
        </is>
      </c>
      <c r="C11" t="inlineStr">
        <is>
          <t>Quote box merged into the chart - hover to quote</t>
        </is>
      </c>
      <c r="D11" s="2" t="inlineStr">
        <is>
          <t>Operator: "why u need box separately". Hover crosshair + continuous readout bar; orphaned JS null-read fixed.</t>
        </is>
      </c>
    </row>
    <row r="12" ht="48" customHeight="1">
      <c r="A12" t="n">
        <v>11</v>
      </c>
      <c r="B12" t="inlineStr">
        <is>
          <t>ebd774e</t>
        </is>
      </c>
      <c r="C12" t="inlineStr">
        <is>
          <t>All views activated + aggregate book on Transact</t>
        </is>
      </c>
      <c r="D12" s="2" t="inlineStr">
        <is>
          <t>Operator: tabs were delinked; Transact should show the aggregate curve. Three vantage points on ONE book. REAL BUG found+fixed: per-maker curve params CROSSED the book (bid &gt; ask; -1,261 bps in HALF-spread convention = -2,522 bps full-spread; NB sheet 5's 32.8 bps is full-spread) - a LEVEL-DISAGREEMENT failure. Fix: makers share the LEVEL and differ only in depth+spread ("transport-not-level"); honest CROSSED-arb detector added. Result: 16.4 bps best-maker half-spread, clean.</t>
        </is>
      </c>
    </row>
    <row r="14">
      <c r="A14" s="4" t="inlineStr">
        <is>
          <t>(builds 5 and 7 were intermediate states within the caf6c71/07370be work; numbering follows the in-app build stamp)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30" customWidth="1" min="3" max="3"/>
  </cols>
  <sheetData>
    <row r="1">
      <c r="A1" s="1" t="inlineStr">
        <is>
          <t>OPEN GAPS - what is NOT proved / NOT verified / operator-tier. Nothing here is hidden in the PDF either.</t>
        </is>
      </c>
    </row>
    <row r="3">
      <c r="A3" s="3" t="inlineStr">
        <is>
          <t>id</t>
        </is>
      </c>
      <c r="B3" s="3" t="inlineStr">
        <is>
          <t>gap</t>
        </is>
      </c>
      <c r="C3" s="3" t="inlineStr">
        <is>
          <t>tier</t>
        </is>
      </c>
    </row>
    <row r="4" ht="42" customHeight="1">
      <c r="A4" t="inlineStr">
        <is>
          <t>B-1</t>
        </is>
      </c>
      <c r="B4" s="2" t="inlineStr">
        <is>
          <t>Burr-2 MidConvex bridge NOT proved: the book-layer arb-free chain attaches to the v28 engine curve (engine_call_midconvex), not yet to the Burr-2 curve the app actually quotes. Named the next Lean obligation.</t>
        </is>
      </c>
      <c r="C4" t="inlineStr">
        <is>
          <t>Lean, next obligation</t>
        </is>
      </c>
    </row>
    <row r="5" ht="42" customHeight="1">
      <c r="A5" t="inlineStr">
        <is>
          <t>B-2</t>
        </is>
      </c>
      <c r="B5" s="2" t="inlineStr">
        <is>
          <t>BURR2_CORE section-4 sign/order results conditional on TailRep; the non-vacuity witness is a toy (a=gamma=1, ibeta=id), not the real incomplete beta.</t>
        </is>
      </c>
      <c r="C5" t="inlineStr">
        <is>
          <t>Lean, known-conditional</t>
        </is>
      </c>
    </row>
    <row r="6" ht="42" customHeight="1">
      <c r="A6" t="inlineStr">
        <is>
          <t>B-3</t>
        </is>
      </c>
      <c r="B6" s="2" t="inlineStr">
        <is>
          <t>BURR2_MIXTURE bound is on the midpoint member, near-the-money ("0.02-0.12%" is near-money only; 745% excess at gamma 0.4 vs 3.0); joint non-closure over all four params unproved.</t>
        </is>
      </c>
      <c r="C6" t="inlineStr">
        <is>
          <t>Lean, scoped</t>
        </is>
      </c>
    </row>
    <row r="7" ht="42" customHeight="1">
      <c r="A7" t="inlineStr">
        <is>
          <t>B-4</t>
        </is>
      </c>
      <c r="B7" s="2" t="inlineStr">
        <is>
          <t>kappa (skew) dynamics - the Trade Bands mechanic - entirely unformalised.</t>
        </is>
      </c>
      <c r="C7" t="inlineStr">
        <is>
          <t>Lean, open</t>
        </is>
      </c>
    </row>
    <row r="8" ht="42" customHeight="1">
      <c r="A8" t="inlineStr">
        <is>
          <t>G-1</t>
        </is>
      </c>
      <c r="B8" s="2" t="inlineStr">
        <is>
          <t>v3-maps G1 unresolved: Exposure readback cited in the README/loop map but ABSENT from the Lean (re-verified 2026-08-18). Portfolio hedge-readback panel has zero Lean backing.</t>
        </is>
      </c>
      <c r="C8" t="inlineStr">
        <is>
          <t>mislabel risk - fix before external use</t>
        </is>
      </c>
    </row>
    <row r="9" ht="42" customHeight="1">
      <c r="A9" t="inlineStr">
        <is>
          <t>G-5/6</t>
        </is>
      </c>
      <c r="B9" s="2" t="inlineStr">
        <is>
          <t>"Arb-free" = butterfly leg only; no individual-rationality/adverse-selection theorem for LPs under the mixed book (the refraction finding).</t>
        </is>
      </c>
      <c r="C9" t="inlineStr">
        <is>
          <t>Lean + product</t>
        </is>
      </c>
    </row>
    <row r="10" ht="42" customHeight="1">
      <c r="A10" t="inlineStr">
        <is>
          <t>E-1</t>
        </is>
      </c>
      <c r="B10" s="2" t="inlineStr">
        <is>
          <t>The whole economics layer (bleed, h_fair, APR, viability) is a MODEL with demo constants, no Lean, and the fixed-mode inversion is unreachable at the default fee=0.02 within the RV slider (needs fee &lt; 1.62%; sheet 5 finding).</t>
        </is>
      </c>
      <c r="C10" t="inlineStr">
        <is>
          <t>sim honesty</t>
        </is>
      </c>
    </row>
    <row r="11" ht="42" customHeight="1">
      <c r="A11" t="inlineStr">
        <is>
          <t>F-1</t>
        </is>
      </c>
      <c r="B11" s="2" t="inlineStr">
        <is>
          <t>SKEPTIC FINDING 2026-08-18 (reported, not fixed): Portfolio "residual exposure 0.000000" is a hardcoded string (index.html L554) over the definitional identity hedge := -netDelta - closure by construction, not a check; a wrong Delta still reads back to zero. And the demo put-leg delta IS wrong: code uses -Delta_call = 0.5358 at k=-0.10, while parity P=C+k forces 0.4642 long (-0.4642 for the short put position).</t>
        </is>
      </c>
      <c r="C11" t="inlineStr">
        <is>
          <t>app bug + display honesty, open</t>
        </is>
      </c>
    </row>
    <row r="12" ht="42" customHeight="1">
      <c r="A12" t="inlineStr">
        <is>
          <t>E-2</t>
        </is>
      </c>
      <c r="B12" s="2" t="inlineStr">
        <is>
          <t>Realtime LP tuning (entry 541) converts a passive-LP product into an active-MM venue; LP-vs-LP adverse selection, correlated withdrawal, herding are new risks with no model.</t>
        </is>
      </c>
      <c r="C12" t="inlineStr">
        <is>
          <t>operator-tier, open problem</t>
        </is>
      </c>
    </row>
    <row r="13" ht="42" customHeight="1">
      <c r="A13" t="inlineStr">
        <is>
          <t>P-1</t>
        </is>
      </c>
      <c r="B13" s="2" t="inlineStr">
        <is>
          <t>The app is NOT wired to the production engine; nothing here changes engine/ or its gates.</t>
        </is>
      </c>
      <c r="C13" t="inlineStr">
        <is>
          <t>known</t>
        </is>
      </c>
    </row>
    <row r="14" ht="42" customHeight="1">
      <c r="A14" t="inlineStr">
        <is>
          <t>T-1</t>
        </is>
      </c>
      <c r="B14" s="2" t="inlineStr">
        <is>
          <t>The 2026-08-14 app-build session's operator messages were never transcribed (corrigendum filed 2026-08-18); build-history operator quotes are commit-message fragments, labelled reconstruction.</t>
        </is>
      </c>
      <c r="C14" t="inlineStr">
        <is>
          <t>process, owned by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2026-08-18T18:07:03Z</dcterms:created>
  <dcterms:modified xsi:type="dcterms:W3CDTF">2026-08-18T18:07:03Z</dcterms:modified>
</cp:coreProperties>
</file>