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1_Shapes" sheetId="2" state="visible" r:id="rId2"/>
    <sheet name="2_Aggregate" sheetId="3" state="visible" r:id="rId3"/>
    <sheet name="3_Portfolio" sheetId="4" state="visible" r:id="rId4"/>
    <sheet name="4_Trade" sheetId="5" state="visible" r:id="rId5"/>
    <sheet name="5_Economics" sheetId="6" state="visible" r:id="rId6"/>
    <sheet name="6_Margin" sheetId="7" state="visible" r:id="rId7"/>
    <sheet name="7_Closure" sheetId="8" state="visible" r:id="rId8"/>
    <sheet name="8_TraderCircu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0"/>
    <numFmt numFmtId="166" formatCode="0.0%"/>
    <numFmt numFmtId="167" formatCode="0.0000"/>
    <numFmt numFmtId="168" formatCode="0.0000000"/>
    <numFmt numFmtId="169" formatCode="#,##0.0000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65D"/>
      <sz val="12"/>
    </font>
    <font>
      <b val="1"/>
    </font>
    <font>
      <i val="1"/>
      <color rgb="00555555"/>
      <sz val="9"/>
    </font>
    <font>
      <b val="1"/>
      <color rgb="00FFFFFF"/>
      <sz val="10"/>
    </font>
    <font/>
    <font>
      <b val="1"/>
      <color rgb="009C4221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C6F6D5"/>
      </patternFill>
    </fill>
    <fill>
      <patternFill patternType="solid">
        <fgColor rgb="00FEEBC8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2" fontId="0" fillId="3" borderId="1" applyAlignment="1" pivotButton="0" quotePrefix="0" xfId="0">
      <alignment horizontal="right"/>
    </xf>
    <xf numFmtId="0" fontId="4" fillId="0" borderId="0" pivotButton="0" quotePrefix="0" xfId="0"/>
    <xf numFmtId="164" fontId="0" fillId="3" borderId="1" applyAlignment="1" pivotButton="0" quotePrefix="0" xfId="0">
      <alignment horizontal="right"/>
    </xf>
    <xf numFmtId="2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167" fontId="0" fillId="3" borderId="1" applyAlignment="1" pivotButton="0" quotePrefix="0" xfId="0">
      <alignment horizontal="right"/>
    </xf>
    <xf numFmtId="167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2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  <xf numFmtId="168" fontId="0" fillId="6" borderId="2" pivotButton="0" quotePrefix="0" xfId="0"/>
    <xf numFmtId="3" fontId="0" fillId="0" borderId="2" applyAlignment="1" pivotButton="0" quotePrefix="0" xfId="0">
      <alignment horizontal="right"/>
    </xf>
    <xf numFmtId="3" fontId="0" fillId="4" borderId="2" pivotButton="0" quotePrefix="0" xfId="0"/>
    <xf numFmtId="0" fontId="6" fillId="0" borderId="0" pivotButton="0" quotePrefix="0" xfId="0"/>
    <xf numFmtId="3" fontId="3" fillId="4" borderId="2" applyAlignment="1" pivotButton="0" quotePrefix="0" xfId="0">
      <alignment horizontal="right"/>
    </xf>
    <xf numFmtId="166" fontId="3" fillId="6" borderId="2" applyAlignment="1" pivotButton="0" quotePrefix="0" xfId="0">
      <alignment horizontal="right"/>
    </xf>
    <xf numFmtId="3" fontId="3" fillId="6" borderId="2" applyAlignment="1" pivotButton="0" quotePrefix="0" xfId="0">
      <alignment horizontal="right"/>
    </xf>
    <xf numFmtId="165" fontId="3" fillId="6" borderId="2" applyAlignment="1" pivotButton="0" quotePrefix="0" xfId="0">
      <alignment horizontal="right"/>
    </xf>
    <xf numFmtId="0" fontId="3" fillId="6" borderId="0" pivotButton="0" quotePrefix="0" xfId="0"/>
    <xf numFmtId="3" fontId="0" fillId="4" borderId="2" applyAlignment="1" pivotButton="0" quotePrefix="0" xfId="0">
      <alignment horizontal="right"/>
    </xf>
    <xf numFmtId="169" fontId="0" fillId="0" borderId="2" applyAlignment="1" pivotButton="0" quotePrefix="0" xfId="0">
      <alignment horizontal="right"/>
    </xf>
    <xf numFmtId="169" fontId="3" fillId="6" borderId="2" applyAlignment="1" pivotButton="0" quotePrefix="0" xfId="0">
      <alignment horizontal="right"/>
    </xf>
    <xf numFmtId="166" fontId="0" fillId="3" borderId="2" applyAlignment="1" pivotButton="0" quotePrefix="0" xfId="0">
      <alignment horizontal="right"/>
    </xf>
    <xf numFmtId="0" fontId="7" fillId="0" borderId="0" pivotButton="0" quotePrefix="0" xfId="0"/>
    <xf numFmtId="3" fontId="3" fillId="7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58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LAYER 0 - INPUTS (edit yellow; every layer downstream recomputes)</t>
        </is>
      </c>
    </row>
    <row r="2"/>
    <row r="3">
      <c r="A3" s="2" t="inlineStr">
        <is>
          <t>GLOBAL</t>
        </is>
      </c>
    </row>
    <row r="4">
      <c r="A4" s="3" t="inlineStr">
        <is>
          <t>gamma</t>
        </is>
      </c>
      <c r="B4" s="4" t="n">
        <v>2</v>
      </c>
      <c r="C4" s="5" t="inlineStr">
        <is>
          <t>base curve exponent</t>
        </is>
      </c>
    </row>
    <row r="5">
      <c r="A5" s="3" t="inlineStr">
        <is>
          <t>m</t>
        </is>
      </c>
      <c r="B5" s="6" t="n">
        <v>1</v>
      </c>
      <c r="C5" s="5" t="inlineStr">
        <is>
          <t>steepness knob</t>
        </is>
      </c>
    </row>
    <row r="6">
      <c r="A6" s="3" t="inlineStr">
        <is>
          <t>g</t>
        </is>
      </c>
      <c r="B6" s="7">
        <f>B4*B5</f>
        <v/>
      </c>
      <c r="C6" s="5" t="inlineStr">
        <is>
          <t>g = m*gamma (computed)</t>
        </is>
      </c>
    </row>
    <row r="7">
      <c r="A7" s="3" t="inlineStr">
        <is>
          <t>Gfac</t>
        </is>
      </c>
      <c r="B7" s="7">
        <f>B6*(B6+1)/2</f>
        <v/>
      </c>
      <c r="C7" s="5" t="inlineStr">
        <is>
          <t>G = g(g+1)/2 gamma factor (computed)</t>
        </is>
      </c>
    </row>
    <row r="8">
      <c r="A8" s="3" t="inlineStr">
        <is>
          <t>u_seam</t>
        </is>
      </c>
      <c r="B8" s="8">
        <f>LN(B6/(B6+1))</f>
        <v/>
      </c>
      <c r="C8" s="5" t="inlineStr">
        <is>
          <t>LN(g/(g+1)) - smooth-paste seam, S*=K*g/(g+1) (computed)</t>
        </is>
      </c>
    </row>
    <row r="9">
      <c r="A9" s="3" t="inlineStr">
        <is>
          <t>V_atm</t>
        </is>
      </c>
      <c r="B9" s="8">
        <f>(1/(B6+1))*(B6/(B6+1))^B6</f>
        <v/>
      </c>
      <c r="C9" s="5" t="inlineStr">
        <is>
          <t>(1/(g+1))*(g/(g+1))^g - ATM value (computed)</t>
        </is>
      </c>
    </row>
    <row r="10">
      <c r="A10" s="3" t="inlineStr">
        <is>
          <t>sigma_cal</t>
        </is>
      </c>
      <c r="B10" s="9" t="n">
        <v>0.7</v>
      </c>
      <c r="C10" s="5" t="inlineStr">
        <is>
          <t>vol the curve is CALIBRATED to</t>
        </is>
      </c>
    </row>
    <row r="11">
      <c r="A11" s="3" t="inlineStr">
        <is>
          <t>RV</t>
        </is>
      </c>
      <c r="B11" s="9" t="n">
        <v>0.6</v>
      </c>
      <c r="C11" s="5" t="inlineStr">
        <is>
          <t>realized vol</t>
        </is>
      </c>
    </row>
    <row r="12">
      <c r="A12" s="3" t="inlineStr">
        <is>
          <t>days_per_year</t>
        </is>
      </c>
      <c r="B12" s="10" t="n">
        <v>365</v>
      </c>
      <c r="C12" s="5" t="inlineStr"/>
    </row>
    <row r="13">
      <c r="A13" s="3" t="inlineStr">
        <is>
          <t>fee_bps</t>
        </is>
      </c>
      <c r="B13" s="6" t="n">
        <v>2.5</v>
      </c>
      <c r="C13" s="5" t="inlineStr">
        <is>
          <t>taker fee</t>
        </is>
      </c>
    </row>
    <row r="14">
      <c r="A14" s="3" t="inlineStr">
        <is>
          <t>hedge_exec_cost</t>
        </is>
      </c>
      <c r="B14" s="9" t="n">
        <v>0.01</v>
      </c>
      <c r="C14" s="5" t="inlineStr">
        <is>
          <t>imperfect hedge + execution, APR on hedge notional</t>
        </is>
      </c>
    </row>
    <row r="15">
      <c r="A15" s="3" t="inlineStr">
        <is>
          <t>order_mgmt_cost</t>
        </is>
      </c>
      <c r="B15" s="9" t="n">
        <v>0.005</v>
      </c>
      <c r="C15" s="5" t="inlineStr">
        <is>
          <t>limit-order placement/updating, APR on hedge notional</t>
        </is>
      </c>
    </row>
    <row r="16">
      <c r="A16" s="3" t="inlineStr">
        <is>
          <t>borrow_APR</t>
        </is>
      </c>
      <c r="B16" s="9" t="n">
        <v>0.06</v>
      </c>
      <c r="C16" s="5" t="inlineStr">
        <is>
          <t>financing on book above equity</t>
        </is>
      </c>
    </row>
    <row r="17">
      <c r="A17" s="3" t="inlineStr">
        <is>
          <t>HLP_base_APR</t>
        </is>
      </c>
      <c r="B17" s="9" t="n">
        <v>0.1</v>
      </c>
      <c r="C17" s="5" t="inlineStr">
        <is>
          <t>yield if HLP-margined</t>
        </is>
      </c>
    </row>
    <row r="18">
      <c r="A18" s="3" t="inlineStr">
        <is>
          <t>hedge_ratio</t>
        </is>
      </c>
      <c r="B18" s="4" t="n">
        <v>1</v>
      </c>
      <c r="C18" s="5" t="inlineStr">
        <is>
          <t>1.00 = fully delta-hedged (loop closes); &lt;1 leaves residual</t>
        </is>
      </c>
    </row>
    <row r="19">
      <c r="A19" s="3" t="inlineStr">
        <is>
          <t>S_ref</t>
        </is>
      </c>
      <c r="B19" s="11" t="n">
        <v>100000</v>
      </c>
      <c r="C19" s="5" t="inlineStr">
        <is>
          <t>reference price</t>
        </is>
      </c>
    </row>
    <row r="20">
      <c r="A20" s="3" t="inlineStr">
        <is>
          <t>margin_per_unit</t>
        </is>
      </c>
      <c r="B20" s="11" t="n">
        <v>100000</v>
      </c>
      <c r="C20" s="5" t="inlineStr">
        <is>
          <t>LAYER 3: $ margin per carved unit at close</t>
        </is>
      </c>
    </row>
    <row r="21">
      <c r="A21" s="3" t="inlineStr">
        <is>
          <t>L0</t>
        </is>
      </c>
      <c r="B21" s="4" t="n">
        <v>1</v>
      </c>
      <c r="C21" s="5" t="inlineStr">
        <is>
          <t>carved-slice scale</t>
        </is>
      </c>
    </row>
    <row r="22">
      <c r="A22" s="3" t="inlineStr">
        <is>
          <t>open_notional_units</t>
        </is>
      </c>
      <c r="B22" s="4" t="n">
        <v>10</v>
      </c>
      <c r="C22" s="5" t="inlineStr">
        <is>
          <t>total open option notional, UNITS</t>
        </is>
      </c>
    </row>
    <row r="23">
      <c r="A23" s="3" t="inlineStr">
        <is>
          <t>daily_turnover</t>
        </is>
      </c>
      <c r="B23" s="4" t="n">
        <v>0.3</v>
      </c>
      <c r="C23" s="5" t="inlineStr">
        <is>
          <t>traded / open notional per day</t>
        </is>
      </c>
    </row>
    <row r="24"/>
    <row r="25">
      <c r="A25" s="2" t="inlineStr">
        <is>
          <t>PER-LP - each LP picks its OWN shape (the feedback)</t>
        </is>
      </c>
    </row>
    <row r="26">
      <c r="A26" s="12" t="inlineStr">
        <is>
          <t>LP</t>
        </is>
      </c>
      <c r="B26" s="12" t="inlineStr">
        <is>
          <t>beta (impact)</t>
        </is>
      </c>
      <c r="C26" s="12" t="inlineStr">
        <is>
          <t>h (half-spread)</t>
        </is>
      </c>
      <c r="D26" s="12" t="inlineStr">
        <is>
          <t>equity $</t>
        </is>
      </c>
      <c r="E26" s="12" t="inlineStr">
        <is>
          <t>uses HLP (1/0)</t>
        </is>
      </c>
    </row>
    <row r="27">
      <c r="A27" s="3" t="inlineStr">
        <is>
          <t>LP-1 deep</t>
        </is>
      </c>
      <c r="B27" s="4" t="n">
        <v>2</v>
      </c>
      <c r="C27" s="13" t="n">
        <v>0.001</v>
      </c>
      <c r="D27" s="11" t="n">
        <v>1000000</v>
      </c>
      <c r="E27" s="10" t="n">
        <v>0</v>
      </c>
    </row>
    <row r="28">
      <c r="A28" s="3" t="inlineStr">
        <is>
          <t>LP-2 mid</t>
        </is>
      </c>
      <c r="B28" s="4" t="n">
        <v>5</v>
      </c>
      <c r="C28" s="13" t="n">
        <v>0.0015</v>
      </c>
      <c r="D28" s="11" t="n">
        <v>500000</v>
      </c>
      <c r="E28" s="10" t="n">
        <v>0</v>
      </c>
    </row>
    <row r="29">
      <c r="A29" s="3" t="inlineStr">
        <is>
          <t>LP-3 thin/tightest</t>
        </is>
      </c>
      <c r="B29" s="4" t="n">
        <v>10</v>
      </c>
      <c r="C29" s="13" t="n">
        <v>0.0008</v>
      </c>
      <c r="D29" s="11" t="n">
        <v>250000</v>
      </c>
      <c r="E29" s="10" t="n">
        <v>1</v>
      </c>
    </row>
    <row r="30"/>
    <row r="31">
      <c r="A31" s="2" t="inlineStr">
        <is>
          <t>GRID u = LN(S/K).  u&lt;u_seam = past the seam (value IS intrinsic).  Delta transports AND reads back.</t>
        </is>
      </c>
    </row>
    <row r="32">
      <c r="A32" s="12" t="inlineStr">
        <is>
          <t>u = ln(S/K)</t>
        </is>
      </c>
      <c r="B32" s="12" t="inlineStr">
        <is>
          <t>S/K</t>
        </is>
      </c>
      <c r="C32" s="12" t="inlineStr">
        <is>
          <t>V(u) SINGLE number</t>
        </is>
      </c>
      <c r="D32" s="12" t="inlineStr">
        <is>
          <t>Delta(u) log-delta</t>
        </is>
      </c>
      <c r="E32" s="12" t="inlineStr">
        <is>
          <t>regime</t>
        </is>
      </c>
      <c r="F32" s="12" t="inlineStr">
        <is>
          <t>q(u) units open</t>
        </is>
      </c>
    </row>
    <row r="33">
      <c r="A33" s="4" t="n">
        <v>-0.6</v>
      </c>
      <c r="B33" s="14">
        <f>EXP(A33)</f>
        <v/>
      </c>
      <c r="C33" s="15">
        <f>IF(A33&lt;Inputs!$B$8,1-EXP(A33),Inputs!$B$9*EXP(-Inputs!$B$6*A33))</f>
        <v/>
      </c>
      <c r="D33" s="15">
        <f>IF(A33&lt;Inputs!$B$8,EXP(A33),Inputs!$B$6*C33)</f>
        <v/>
      </c>
      <c r="E33" s="16">
        <f>IF(A33&lt;Inputs!$B$8,"INTRINSIC (past seam)","continuation")</f>
        <v/>
      </c>
      <c r="F33" s="14">
        <f>D33/SUM($D$33:$D$37)*Inputs!$B$22</f>
        <v/>
      </c>
    </row>
    <row r="34">
      <c r="A34" s="4" t="n">
        <v>-0.3</v>
      </c>
      <c r="B34" s="14">
        <f>EXP(A34)</f>
        <v/>
      </c>
      <c r="C34" s="15">
        <f>IF(A34&lt;Inputs!$B$8,1-EXP(A34),Inputs!$B$9*EXP(-Inputs!$B$6*A34))</f>
        <v/>
      </c>
      <c r="D34" s="15">
        <f>IF(A34&lt;Inputs!$B$8,EXP(A34),Inputs!$B$6*C34)</f>
        <v/>
      </c>
      <c r="E34" s="16">
        <f>IF(A34&lt;Inputs!$B$8,"INTRINSIC (past seam)","continuation")</f>
        <v/>
      </c>
      <c r="F34" s="14">
        <f>D34/SUM($D$33:$D$37)*Inputs!$B$22</f>
        <v/>
      </c>
    </row>
    <row r="35">
      <c r="A35" s="4" t="n">
        <v>0</v>
      </c>
      <c r="B35" s="14">
        <f>EXP(A35)</f>
        <v/>
      </c>
      <c r="C35" s="15">
        <f>IF(A35&lt;Inputs!$B$8,1-EXP(A35),Inputs!$B$9*EXP(-Inputs!$B$6*A35))</f>
        <v/>
      </c>
      <c r="D35" s="15">
        <f>IF(A35&lt;Inputs!$B$8,EXP(A35),Inputs!$B$6*C35)</f>
        <v/>
      </c>
      <c r="E35" s="16">
        <f>IF(A35&lt;Inputs!$B$8,"INTRINSIC (past seam)","continuation")</f>
        <v/>
      </c>
      <c r="F35" s="14">
        <f>D35/SUM($D$33:$D$37)*Inputs!$B$22</f>
        <v/>
      </c>
    </row>
    <row r="36">
      <c r="A36" s="4" t="n">
        <v>0.3</v>
      </c>
      <c r="B36" s="14">
        <f>EXP(A36)</f>
        <v/>
      </c>
      <c r="C36" s="15">
        <f>IF(A36&lt;Inputs!$B$8,1-EXP(A36),Inputs!$B$9*EXP(-Inputs!$B$6*A36))</f>
        <v/>
      </c>
      <c r="D36" s="15">
        <f>IF(A36&lt;Inputs!$B$8,EXP(A36),Inputs!$B$6*C36)</f>
        <v/>
      </c>
      <c r="E36" s="16">
        <f>IF(A36&lt;Inputs!$B$8,"INTRINSIC (past seam)","continuation")</f>
        <v/>
      </c>
      <c r="F36" s="14">
        <f>D36/SUM($D$33:$D$37)*Inputs!$B$22</f>
        <v/>
      </c>
    </row>
    <row r="37">
      <c r="A37" s="4" t="n">
        <v>0.6</v>
      </c>
      <c r="B37" s="14">
        <f>EXP(A37)</f>
        <v/>
      </c>
      <c r="C37" s="15">
        <f>IF(A37&lt;Inputs!$B$8,1-EXP(A37),Inputs!$B$9*EXP(-Inputs!$B$6*A37))</f>
        <v/>
      </c>
      <c r="D37" s="15">
        <f>IF(A37&lt;Inputs!$B$8,EXP(A37),Inputs!$B$6*C37)</f>
        <v/>
      </c>
      <c r="E37" s="16">
        <f>IF(A37&lt;Inputs!$B$8,"INTRINSIC (past seam)","continuation")</f>
        <v/>
      </c>
      <c r="F37" s="14">
        <f>D37/SUM($D$33:$D$37)*Inputs!$B$22</f>
        <v/>
      </c>
    </row>
    <row r="38"/>
    <row r="39">
      <c r="A39" s="5" t="inlineStr">
        <is>
          <t>V is ONE number (total value incl. ITM via smooth-paste) - no intrinsic/extrinsic split anywhere.</t>
        </is>
      </c>
    </row>
    <row r="40"/>
    <row r="41">
      <c r="A41" s="2" t="inlineStr">
        <is>
          <t>TRADER SIDE — shared perp wallets (clubs) + carve</t>
        </is>
      </c>
    </row>
    <row r="42">
      <c r="A42" s="3" t="inlineStr">
        <is>
          <t>club_long_notional $</t>
        </is>
      </c>
      <c r="B42" s="11" t="n">
        <v>4000000</v>
      </c>
      <c r="C42" s="5" t="inlineStr">
        <is>
          <t>all LONG perps aggregated into ONE shared wallet</t>
        </is>
      </c>
    </row>
    <row r="43">
      <c r="A43" s="3" t="inlineStr">
        <is>
          <t>club_short_notional $</t>
        </is>
      </c>
      <c r="B43" s="11" t="n">
        <v>3000000</v>
      </c>
      <c r="C43" s="5" t="inlineStr">
        <is>
          <t>all SHORT perps aggregated into ONE shared wallet</t>
        </is>
      </c>
    </row>
    <row r="44">
      <c r="A44" s="3" t="inlineStr">
        <is>
          <t>club_margin_frac</t>
        </is>
      </c>
      <c r="B44" s="4" t="n">
        <v>0.2</v>
      </c>
      <c r="C44" s="5" t="inlineStr">
        <is>
          <t>equity posted per $ notional (1/leverage)</t>
        </is>
      </c>
    </row>
    <row r="45">
      <c r="A45" s="3" t="inlineStr">
        <is>
          <t>carve_frac_long</t>
        </is>
      </c>
      <c r="B45" s="4" t="n">
        <v>0.25</v>
      </c>
      <c r="C45" s="5" t="inlineStr">
        <is>
          <t>fraction of the LONG club carved to back option positions</t>
        </is>
      </c>
    </row>
    <row r="46">
      <c r="A46" s="3" t="inlineStr">
        <is>
          <t>carve_frac_short</t>
        </is>
      </c>
      <c r="B46" s="4" t="n">
        <v>0.3</v>
      </c>
      <c r="C46" s="5" t="inlineStr">
        <is>
          <t>fraction of the SHORT club carved</t>
        </is>
      </c>
    </row>
    <row r="47">
      <c r="A47" s="3" t="inlineStr">
        <is>
          <t>perp_pnl_on_carve_pct</t>
        </is>
      </c>
      <c r="B47" s="9" t="n">
        <v>0.05</v>
      </c>
      <c r="C47" s="5" t="inlineStr">
        <is>
          <t>P&amp;L accrued on the carved slice between carve and close</t>
        </is>
      </c>
    </row>
    <row r="48">
      <c r="A48" s="3" t="inlineStr">
        <is>
          <t>option_pnl_pct_of_carve</t>
        </is>
      </c>
      <c r="B48" s="31" t="n">
        <v>0.08</v>
      </c>
      <c r="C48" s="5" t="inlineStr">
        <is>
          <t>P&amp;L on the perp-OPTION leg (as % of carved equity) - settles WITH its perp</t>
        </is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LAYER 1a - PER-LP SHAPE MAP: each LP's own curve | beta(u)=beta*Delta^2 | h(u)=h*|Delta|</t>
        </is>
      </c>
    </row>
    <row r="3">
      <c r="A3" s="12" t="inlineStr">
        <is>
          <t>u</t>
        </is>
      </c>
      <c r="B3" s="12" t="inlineStr">
        <is>
          <t>Delta(u)</t>
        </is>
      </c>
      <c r="C3" s="12" t="inlineStr">
        <is>
          <t>b1(u)</t>
        </is>
      </c>
      <c r="D3" s="12" t="inlineStr">
        <is>
          <t>b2(u)</t>
        </is>
      </c>
      <c r="E3" s="12" t="inlineStr">
        <is>
          <t>b3(u)</t>
        </is>
      </c>
      <c r="F3" s="12" t="inlineStr">
        <is>
          <t>h1(u)</t>
        </is>
      </c>
      <c r="G3" s="12" t="inlineStr">
        <is>
          <t>h2(u)</t>
        </is>
      </c>
      <c r="H3" s="12" t="inlineStr">
        <is>
          <t>h3(u)</t>
        </is>
      </c>
    </row>
    <row r="4">
      <c r="A4" s="17">
        <f>Inputs!A33</f>
        <v/>
      </c>
      <c r="B4" s="15">
        <f>Inputs!D33</f>
        <v/>
      </c>
      <c r="C4" s="15">
        <f>Inputs!$B$27*$B4^2</f>
        <v/>
      </c>
      <c r="D4" s="15">
        <f>Inputs!$B$28*$B4^2</f>
        <v/>
      </c>
      <c r="E4" s="15">
        <f>Inputs!$B$29*$B4^2</f>
        <v/>
      </c>
      <c r="F4" s="15">
        <f>Inputs!$C$27*ABS($B4)</f>
        <v/>
      </c>
      <c r="G4" s="15">
        <f>Inputs!$C$28*ABS($B4)</f>
        <v/>
      </c>
      <c r="H4" s="15">
        <f>Inputs!$C$29*ABS($B4)</f>
        <v/>
      </c>
    </row>
    <row r="5">
      <c r="A5" s="17">
        <f>Inputs!A34</f>
        <v/>
      </c>
      <c r="B5" s="15">
        <f>Inputs!D34</f>
        <v/>
      </c>
      <c r="C5" s="15">
        <f>Inputs!$B$27*$B5^2</f>
        <v/>
      </c>
      <c r="D5" s="15">
        <f>Inputs!$B$28*$B5^2</f>
        <v/>
      </c>
      <c r="E5" s="15">
        <f>Inputs!$B$29*$B5^2</f>
        <v/>
      </c>
      <c r="F5" s="15">
        <f>Inputs!$C$27*ABS($B5)</f>
        <v/>
      </c>
      <c r="G5" s="15">
        <f>Inputs!$C$28*ABS($B5)</f>
        <v/>
      </c>
      <c r="H5" s="15">
        <f>Inputs!$C$29*ABS($B5)</f>
        <v/>
      </c>
    </row>
    <row r="6">
      <c r="A6" s="17">
        <f>Inputs!A35</f>
        <v/>
      </c>
      <c r="B6" s="15">
        <f>Inputs!D35</f>
        <v/>
      </c>
      <c r="C6" s="15">
        <f>Inputs!$B$27*$B6^2</f>
        <v/>
      </c>
      <c r="D6" s="15">
        <f>Inputs!$B$28*$B6^2</f>
        <v/>
      </c>
      <c r="E6" s="15">
        <f>Inputs!$B$29*$B6^2</f>
        <v/>
      </c>
      <c r="F6" s="15">
        <f>Inputs!$C$27*ABS($B6)</f>
        <v/>
      </c>
      <c r="G6" s="15">
        <f>Inputs!$C$28*ABS($B6)</f>
        <v/>
      </c>
      <c r="H6" s="15">
        <f>Inputs!$C$29*ABS($B6)</f>
        <v/>
      </c>
    </row>
    <row r="7">
      <c r="A7" s="17">
        <f>Inputs!A36</f>
        <v/>
      </c>
      <c r="B7" s="15">
        <f>Inputs!D36</f>
        <v/>
      </c>
      <c r="C7" s="15">
        <f>Inputs!$B$27*$B7^2</f>
        <v/>
      </c>
      <c r="D7" s="15">
        <f>Inputs!$B$28*$B7^2</f>
        <v/>
      </c>
      <c r="E7" s="15">
        <f>Inputs!$B$29*$B7^2</f>
        <v/>
      </c>
      <c r="F7" s="15">
        <f>Inputs!$C$27*ABS($B7)</f>
        <v/>
      </c>
      <c r="G7" s="15">
        <f>Inputs!$C$28*ABS($B7)</f>
        <v/>
      </c>
      <c r="H7" s="15">
        <f>Inputs!$C$29*ABS($B7)</f>
        <v/>
      </c>
    </row>
    <row r="8">
      <c r="A8" s="17">
        <f>Inputs!A37</f>
        <v/>
      </c>
      <c r="B8" s="15">
        <f>Inputs!D37</f>
        <v/>
      </c>
      <c r="C8" s="15">
        <f>Inputs!$B$27*$B8^2</f>
        <v/>
      </c>
      <c r="D8" s="15">
        <f>Inputs!$B$28*$B8^2</f>
        <v/>
      </c>
      <c r="E8" s="15">
        <f>Inputs!$B$29*$B8^2</f>
        <v/>
      </c>
      <c r="F8" s="15">
        <f>Inputs!$C$27*ABS($B8)</f>
        <v/>
      </c>
      <c r="G8" s="15">
        <f>Inputs!$C$28*ABS($B8)</f>
        <v/>
      </c>
      <c r="H8" s="15">
        <f>Inputs!$C$29*ABS($B8)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LAYER 1b - AGGREGATION: N LP curves -&gt; ONE book | 1/b_agg=sum(1/bi) | spread=tightest | shares strike-INVARIANT</t>
        </is>
      </c>
    </row>
    <row r="3">
      <c r="A3" s="12" t="inlineStr">
        <is>
          <t>u</t>
        </is>
      </c>
      <c r="B3" s="12" t="inlineStr">
        <is>
          <t>1/b1</t>
        </is>
      </c>
      <c r="C3" s="12" t="inlineStr">
        <is>
          <t>1/b2</t>
        </is>
      </c>
      <c r="D3" s="12" t="inlineStr">
        <is>
          <t>1/b3</t>
        </is>
      </c>
      <c r="E3" s="12" t="inlineStr">
        <is>
          <t>sum 1/b</t>
        </is>
      </c>
      <c r="F3" s="12" t="inlineStr">
        <is>
          <t>b_agg</t>
        </is>
      </c>
      <c r="G3" s="12" t="inlineStr">
        <is>
          <t>h_agg (min)</t>
        </is>
      </c>
      <c r="H3" s="12" t="inlineStr">
        <is>
          <t>w1</t>
        </is>
      </c>
      <c r="I3" s="12" t="inlineStr">
        <is>
          <t>w2</t>
        </is>
      </c>
      <c r="J3" s="12" t="inlineStr">
        <is>
          <t>w3</t>
        </is>
      </c>
    </row>
    <row r="4">
      <c r="A4" s="17">
        <f>'1_Shapes'!A4</f>
        <v/>
      </c>
      <c r="B4" s="17">
        <f>1/'1_Shapes'!C4</f>
        <v/>
      </c>
      <c r="C4" s="17">
        <f>1/'1_Shapes'!D4</f>
        <v/>
      </c>
      <c r="D4" s="17">
        <f>1/'1_Shapes'!E4</f>
        <v/>
      </c>
      <c r="E4" s="17">
        <f>SUM(B4:D4)</f>
        <v/>
      </c>
      <c r="F4" s="15">
        <f>1/E4</f>
        <v/>
      </c>
      <c r="G4" s="15">
        <f>MIN('1_Shapes'!F4:H4)</f>
        <v/>
      </c>
      <c r="H4" s="18">
        <f>B4/$E4</f>
        <v/>
      </c>
      <c r="I4" s="18">
        <f>C4/$E4</f>
        <v/>
      </c>
      <c r="J4" s="18">
        <f>D4/$E4</f>
        <v/>
      </c>
    </row>
    <row r="5">
      <c r="A5" s="17">
        <f>'1_Shapes'!A5</f>
        <v/>
      </c>
      <c r="B5" s="17">
        <f>1/'1_Shapes'!C5</f>
        <v/>
      </c>
      <c r="C5" s="17">
        <f>1/'1_Shapes'!D5</f>
        <v/>
      </c>
      <c r="D5" s="17">
        <f>1/'1_Shapes'!E5</f>
        <v/>
      </c>
      <c r="E5" s="17">
        <f>SUM(B5:D5)</f>
        <v/>
      </c>
      <c r="F5" s="15">
        <f>1/E5</f>
        <v/>
      </c>
      <c r="G5" s="15">
        <f>MIN('1_Shapes'!F5:H5)</f>
        <v/>
      </c>
      <c r="H5" s="18">
        <f>B5/$E5</f>
        <v/>
      </c>
      <c r="I5" s="18">
        <f>C5/$E5</f>
        <v/>
      </c>
      <c r="J5" s="18">
        <f>D5/$E5</f>
        <v/>
      </c>
    </row>
    <row r="6">
      <c r="A6" s="17">
        <f>'1_Shapes'!A6</f>
        <v/>
      </c>
      <c r="B6" s="17">
        <f>1/'1_Shapes'!C6</f>
        <v/>
      </c>
      <c r="C6" s="17">
        <f>1/'1_Shapes'!D6</f>
        <v/>
      </c>
      <c r="D6" s="17">
        <f>1/'1_Shapes'!E6</f>
        <v/>
      </c>
      <c r="E6" s="17">
        <f>SUM(B6:D6)</f>
        <v/>
      </c>
      <c r="F6" s="15">
        <f>1/E6</f>
        <v/>
      </c>
      <c r="G6" s="15">
        <f>MIN('1_Shapes'!F6:H6)</f>
        <v/>
      </c>
      <c r="H6" s="18">
        <f>B6/$E6</f>
        <v/>
      </c>
      <c r="I6" s="18">
        <f>C6/$E6</f>
        <v/>
      </c>
      <c r="J6" s="18">
        <f>D6/$E6</f>
        <v/>
      </c>
    </row>
    <row r="7">
      <c r="A7" s="17">
        <f>'1_Shapes'!A7</f>
        <v/>
      </c>
      <c r="B7" s="17">
        <f>1/'1_Shapes'!C7</f>
        <v/>
      </c>
      <c r="C7" s="17">
        <f>1/'1_Shapes'!D7</f>
        <v/>
      </c>
      <c r="D7" s="17">
        <f>1/'1_Shapes'!E7</f>
        <v/>
      </c>
      <c r="E7" s="17">
        <f>SUM(B7:D7)</f>
        <v/>
      </c>
      <c r="F7" s="15">
        <f>1/E7</f>
        <v/>
      </c>
      <c r="G7" s="15">
        <f>MIN('1_Shapes'!F7:H7)</f>
        <v/>
      </c>
      <c r="H7" s="18">
        <f>B7/$E7</f>
        <v/>
      </c>
      <c r="I7" s="18">
        <f>C7/$E7</f>
        <v/>
      </c>
      <c r="J7" s="18">
        <f>D7/$E7</f>
        <v/>
      </c>
    </row>
    <row r="8">
      <c r="A8" s="17">
        <f>'1_Shapes'!A8</f>
        <v/>
      </c>
      <c r="B8" s="17">
        <f>1/'1_Shapes'!C8</f>
        <v/>
      </c>
      <c r="C8" s="17">
        <f>1/'1_Shapes'!D8</f>
        <v/>
      </c>
      <c r="D8" s="17">
        <f>1/'1_Shapes'!E8</f>
        <v/>
      </c>
      <c r="E8" s="17">
        <f>SUM(B8:D8)</f>
        <v/>
      </c>
      <c r="F8" s="15">
        <f>1/E8</f>
        <v/>
      </c>
      <c r="G8" s="15">
        <f>MIN('1_Shapes'!F8:H8)</f>
        <v/>
      </c>
      <c r="H8" s="18">
        <f>B8/$E8</f>
        <v/>
      </c>
      <c r="I8" s="18">
        <f>C8/$E8</f>
        <v/>
      </c>
      <c r="J8" s="18">
        <f>D8/$E8</f>
        <v/>
      </c>
    </row>
    <row r="10">
      <c r="A10" s="3" t="inlineStr">
        <is>
          <t>CHECK shares identical across strikes (Delta^2 cancels):</t>
        </is>
      </c>
      <c r="H10" s="19">
        <f>MAX(H4:H8)-MIN(H4:H8)</f>
        <v/>
      </c>
      <c r="I10" s="19">
        <f>MAX(I4:I8)-MIN(I4:I8)</f>
        <v/>
      </c>
      <c r="J10" s="19">
        <f>MAX(J4:J8)-MIN(J4:J8)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5" max="5"/>
    <col width="20" customWidth="1" min="6" max="6"/>
  </cols>
  <sheetData>
    <row r="1" ht="22" customHeight="1">
      <c r="A1" s="1" t="inlineStr">
        <is>
          <t>LAYER 2 - PORTFOLIO ACCOUNTING: the curve gives TOTAL value in ONE number (ITM via smooth-paste; no intrinsic/extrinsic)</t>
        </is>
      </c>
    </row>
    <row r="3">
      <c r="A3" s="12" t="inlineStr">
        <is>
          <t>u</t>
        </is>
      </c>
      <c r="B3" s="12" t="inlineStr">
        <is>
          <t>S/K</t>
        </is>
      </c>
      <c r="C3" s="12" t="inlineStr">
        <is>
          <t>V(u) total value</t>
        </is>
      </c>
      <c r="D3" s="12" t="inlineStr">
        <is>
          <t>regime</t>
        </is>
      </c>
      <c r="E3" s="12" t="inlineStr">
        <is>
          <t>q(u) units</t>
        </is>
      </c>
      <c r="F3" s="12" t="inlineStr">
        <is>
          <t>position value $ (q*V*S)</t>
        </is>
      </c>
    </row>
    <row r="4">
      <c r="A4" s="17">
        <f>Inputs!A33</f>
        <v/>
      </c>
      <c r="B4" s="14">
        <f>Inputs!B33</f>
        <v/>
      </c>
      <c r="C4" s="15">
        <f>Inputs!C33</f>
        <v/>
      </c>
      <c r="D4" s="16">
        <f>Inputs!E33</f>
        <v/>
      </c>
      <c r="E4" s="14">
        <f>Inputs!F33</f>
        <v/>
      </c>
      <c r="F4" s="20">
        <f>C4*E4*Inputs!$B$19</f>
        <v/>
      </c>
    </row>
    <row r="5">
      <c r="A5" s="17">
        <f>Inputs!A34</f>
        <v/>
      </c>
      <c r="B5" s="14">
        <f>Inputs!B34</f>
        <v/>
      </c>
      <c r="C5" s="15">
        <f>Inputs!C34</f>
        <v/>
      </c>
      <c r="D5" s="16">
        <f>Inputs!E34</f>
        <v/>
      </c>
      <c r="E5" s="14">
        <f>Inputs!F34</f>
        <v/>
      </c>
      <c r="F5" s="20">
        <f>C5*E5*Inputs!$B$19</f>
        <v/>
      </c>
    </row>
    <row r="6">
      <c r="A6" s="17">
        <f>Inputs!A35</f>
        <v/>
      </c>
      <c r="B6" s="14">
        <f>Inputs!B35</f>
        <v/>
      </c>
      <c r="C6" s="15">
        <f>Inputs!C35</f>
        <v/>
      </c>
      <c r="D6" s="16">
        <f>Inputs!E35</f>
        <v/>
      </c>
      <c r="E6" s="14">
        <f>Inputs!F35</f>
        <v/>
      </c>
      <c r="F6" s="20">
        <f>C6*E6*Inputs!$B$19</f>
        <v/>
      </c>
    </row>
    <row r="7">
      <c r="A7" s="17">
        <f>Inputs!A36</f>
        <v/>
      </c>
      <c r="B7" s="14">
        <f>Inputs!B36</f>
        <v/>
      </c>
      <c r="C7" s="15">
        <f>Inputs!C36</f>
        <v/>
      </c>
      <c r="D7" s="16">
        <f>Inputs!E36</f>
        <v/>
      </c>
      <c r="E7" s="14">
        <f>Inputs!F36</f>
        <v/>
      </c>
      <c r="F7" s="20">
        <f>C7*E7*Inputs!$B$19</f>
        <v/>
      </c>
    </row>
    <row r="8">
      <c r="A8" s="17">
        <f>Inputs!A37</f>
        <v/>
      </c>
      <c r="B8" s="14">
        <f>Inputs!B37</f>
        <v/>
      </c>
      <c r="C8" s="15">
        <f>Inputs!C37</f>
        <v/>
      </c>
      <c r="D8" s="16">
        <f>Inputs!E37</f>
        <v/>
      </c>
      <c r="E8" s="14">
        <f>Inputs!F37</f>
        <v/>
      </c>
      <c r="F8" s="20">
        <f>C8*E8*Inputs!$B$19</f>
        <v/>
      </c>
    </row>
    <row r="10">
      <c r="A10" s="3" t="inlineStr">
        <is>
          <t>TOTAL book $</t>
        </is>
      </c>
      <c r="F10" s="21">
        <f>SUM(F4:F8)</f>
        <v/>
      </c>
    </row>
    <row r="12">
      <c r="A12" s="5" t="inlineStr">
        <is>
          <t>Seam check: at u&lt;u_seam the value column IS 1-S/K (intrinsic); C1-welded, value&gt;=intrinsic everywhere.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LAYER 1c - TRADE &amp; FILLS: volume split by the strike-invariant shares</t>
        </is>
      </c>
    </row>
    <row r="3">
      <c r="A3" s="12" t="inlineStr">
        <is>
          <t>u</t>
        </is>
      </c>
      <c r="B3" s="12" t="inlineStr">
        <is>
          <t>q(u) units</t>
        </is>
      </c>
      <c r="C3" s="12" t="inlineStr">
        <is>
          <t>traded $/day</t>
        </is>
      </c>
      <c r="D3" s="12" t="inlineStr">
        <is>
          <t>q1 units</t>
        </is>
      </c>
      <c r="E3" s="12" t="inlineStr">
        <is>
          <t>q2 units</t>
        </is>
      </c>
      <c r="F3" s="12" t="inlineStr">
        <is>
          <t>q3 units</t>
        </is>
      </c>
      <c r="G3" s="12" t="inlineStr">
        <is>
          <t>fill$1/day</t>
        </is>
      </c>
      <c r="H3" s="12" t="inlineStr">
        <is>
          <t>fill$2/day</t>
        </is>
      </c>
      <c r="I3" s="12" t="inlineStr">
        <is>
          <t>fill$3/day</t>
        </is>
      </c>
    </row>
    <row r="4">
      <c r="A4" s="17">
        <f>Inputs!A33</f>
        <v/>
      </c>
      <c r="B4" s="14">
        <f>Inputs!F33</f>
        <v/>
      </c>
      <c r="C4" s="20">
        <f>B4*Inputs!$B$19*Inputs!$B$23</f>
        <v/>
      </c>
      <c r="D4" s="14">
        <f>$B4*'2_Aggregate'!H4</f>
        <v/>
      </c>
      <c r="E4" s="14">
        <f>$B4*'2_Aggregate'!I4</f>
        <v/>
      </c>
      <c r="F4" s="14">
        <f>$B4*'2_Aggregate'!J4</f>
        <v/>
      </c>
      <c r="G4" s="20">
        <f>$C4*'2_Aggregate'!H4</f>
        <v/>
      </c>
      <c r="H4" s="20">
        <f>$C4*'2_Aggregate'!I4</f>
        <v/>
      </c>
      <c r="I4" s="20">
        <f>$C4*'2_Aggregate'!J4</f>
        <v/>
      </c>
    </row>
    <row r="5">
      <c r="A5" s="17">
        <f>Inputs!A34</f>
        <v/>
      </c>
      <c r="B5" s="14">
        <f>Inputs!F34</f>
        <v/>
      </c>
      <c r="C5" s="20">
        <f>B5*Inputs!$B$19*Inputs!$B$23</f>
        <v/>
      </c>
      <c r="D5" s="14">
        <f>$B5*'2_Aggregate'!H5</f>
        <v/>
      </c>
      <c r="E5" s="14">
        <f>$B5*'2_Aggregate'!I5</f>
        <v/>
      </c>
      <c r="F5" s="14">
        <f>$B5*'2_Aggregate'!J5</f>
        <v/>
      </c>
      <c r="G5" s="20">
        <f>$C5*'2_Aggregate'!H5</f>
        <v/>
      </c>
      <c r="H5" s="20">
        <f>$C5*'2_Aggregate'!I5</f>
        <v/>
      </c>
      <c r="I5" s="20">
        <f>$C5*'2_Aggregate'!J5</f>
        <v/>
      </c>
    </row>
    <row r="6">
      <c r="A6" s="17">
        <f>Inputs!A35</f>
        <v/>
      </c>
      <c r="B6" s="14">
        <f>Inputs!F35</f>
        <v/>
      </c>
      <c r="C6" s="20">
        <f>B6*Inputs!$B$19*Inputs!$B$23</f>
        <v/>
      </c>
      <c r="D6" s="14">
        <f>$B6*'2_Aggregate'!H6</f>
        <v/>
      </c>
      <c r="E6" s="14">
        <f>$B6*'2_Aggregate'!I6</f>
        <v/>
      </c>
      <c r="F6" s="14">
        <f>$B6*'2_Aggregate'!J6</f>
        <v/>
      </c>
      <c r="G6" s="20">
        <f>$C6*'2_Aggregate'!H6</f>
        <v/>
      </c>
      <c r="H6" s="20">
        <f>$C6*'2_Aggregate'!I6</f>
        <v/>
      </c>
      <c r="I6" s="20">
        <f>$C6*'2_Aggregate'!J6</f>
        <v/>
      </c>
    </row>
    <row r="7">
      <c r="A7" s="17">
        <f>Inputs!A36</f>
        <v/>
      </c>
      <c r="B7" s="14">
        <f>Inputs!F36</f>
        <v/>
      </c>
      <c r="C7" s="20">
        <f>B7*Inputs!$B$19*Inputs!$B$23</f>
        <v/>
      </c>
      <c r="D7" s="14">
        <f>$B7*'2_Aggregate'!H7</f>
        <v/>
      </c>
      <c r="E7" s="14">
        <f>$B7*'2_Aggregate'!I7</f>
        <v/>
      </c>
      <c r="F7" s="14">
        <f>$B7*'2_Aggregate'!J7</f>
        <v/>
      </c>
      <c r="G7" s="20">
        <f>$C7*'2_Aggregate'!H7</f>
        <v/>
      </c>
      <c r="H7" s="20">
        <f>$C7*'2_Aggregate'!I7</f>
        <v/>
      </c>
      <c r="I7" s="20">
        <f>$C7*'2_Aggregate'!J7</f>
        <v/>
      </c>
    </row>
    <row r="8">
      <c r="A8" s="17">
        <f>Inputs!A37</f>
        <v/>
      </c>
      <c r="B8" s="14">
        <f>Inputs!F37</f>
        <v/>
      </c>
      <c r="C8" s="20">
        <f>B8*Inputs!$B$19*Inputs!$B$23</f>
        <v/>
      </c>
      <c r="D8" s="14">
        <f>$B8*'2_Aggregate'!H8</f>
        <v/>
      </c>
      <c r="E8" s="14">
        <f>$B8*'2_Aggregate'!I8</f>
        <v/>
      </c>
      <c r="F8" s="14">
        <f>$B8*'2_Aggregate'!J8</f>
        <v/>
      </c>
      <c r="G8" s="20">
        <f>$C8*'2_Aggregate'!H8</f>
        <v/>
      </c>
      <c r="H8" s="20">
        <f>$C8*'2_Aggregate'!I8</f>
        <v/>
      </c>
      <c r="I8" s="20">
        <f>$C8*'2_Aggregate'!J8</f>
        <v/>
      </c>
    </row>
    <row r="10">
      <c r="A10" s="3" t="inlineStr">
        <is>
          <t>TOTAL</t>
        </is>
      </c>
      <c r="C10" s="21">
        <f>SUM(C4:C8)</f>
        <v/>
      </c>
      <c r="G10" s="21">
        <f>SUM(G4:G8)</f>
        <v/>
      </c>
      <c r="H10" s="21">
        <f>SUM(H4:H8)</f>
        <v/>
      </c>
      <c r="I10" s="21">
        <f>SUM(I4:I8)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LAYER 2b - LP ECONOMICS per LP: carry(sigma_cal) - vol cost(RV) + spread + fees - hedge - financing + HLP</t>
        </is>
      </c>
    </row>
    <row r="3">
      <c r="A3" s="12" t="inlineStr">
        <is>
          <t>line ($/yr unless noted)</t>
        </is>
      </c>
      <c r="B3" s="12" t="inlineStr">
        <is>
          <t>LP-1</t>
        </is>
      </c>
      <c r="C3" s="12" t="inlineStr">
        <is>
          <t>LP-2</t>
        </is>
      </c>
      <c r="D3" s="12" t="inlineStr">
        <is>
          <t>LP-3</t>
        </is>
      </c>
      <c r="E3" s="12" t="inlineStr">
        <is>
          <t>TOTAL</t>
        </is>
      </c>
    </row>
    <row r="4">
      <c r="A4" s="22" t="inlineStr">
        <is>
          <t>book short $ (sum q_i*V*S)</t>
        </is>
      </c>
      <c r="B4" s="20">
        <f>SUMPRODUCT('4_Trade'!D4:D8,'3_Portfolio'!$C$4:$C$8)*Inputs!$B$19</f>
        <v/>
      </c>
      <c r="C4" s="20">
        <f>SUMPRODUCT('4_Trade'!E4:E8,'3_Portfolio'!$C$4:$C$8)*Inputs!$B$19</f>
        <v/>
      </c>
      <c r="D4" s="20">
        <f>SUMPRODUCT('4_Trade'!F4:F8,'3_Portfolio'!$C$4:$C$8)*Inputs!$B$19</f>
        <v/>
      </c>
      <c r="E4" s="20">
        <f>SUM(B4:D4)</f>
        <v/>
      </c>
    </row>
    <row r="5">
      <c r="A5" s="22" t="inlineStr">
        <is>
          <t>carry income = book*G*sigma_cal^2</t>
        </is>
      </c>
      <c r="B5" s="20">
        <f>B4*Inputs!$B$7*Inputs!$B$10^2</f>
        <v/>
      </c>
      <c r="C5" s="20">
        <f>C4*Inputs!$B$7*Inputs!$B$10^2</f>
        <v/>
      </c>
      <c r="D5" s="20">
        <f>D4*Inputs!$B$7*Inputs!$B$10^2</f>
        <v/>
      </c>
      <c r="E5" s="20">
        <f>SUM(B5:D5)</f>
        <v/>
      </c>
    </row>
    <row r="6">
      <c r="A6" s="22" t="inlineStr">
        <is>
          <t>vol cost = -book*G*RV^2</t>
        </is>
      </c>
      <c r="B6" s="20">
        <f>-B4*Inputs!$B$7*Inputs!$B$11^2</f>
        <v/>
      </c>
      <c r="C6" s="20">
        <f>-C4*Inputs!$B$7*Inputs!$B$11^2</f>
        <v/>
      </c>
      <c r="D6" s="20">
        <f>-D4*Inputs!$B$7*Inputs!$B$11^2</f>
        <v/>
      </c>
      <c r="E6" s="20">
        <f>SUM(B6:D6)</f>
        <v/>
      </c>
    </row>
    <row r="7">
      <c r="A7" s="22" t="inlineStr">
        <is>
          <t>spread income</t>
        </is>
      </c>
      <c r="B7" s="20">
        <f>SUMPRODUCT('2_Aggregate'!$G$4:$G$8,'4_Trade'!G4:G8)*Inputs!$B$12</f>
        <v/>
      </c>
      <c r="C7" s="20">
        <f>SUMPRODUCT('2_Aggregate'!$G$4:$G$8,'4_Trade'!H4:H8)*Inputs!$B$12</f>
        <v/>
      </c>
      <c r="D7" s="20">
        <f>SUMPRODUCT('2_Aggregate'!$G$4:$G$8,'4_Trade'!I4:I8)*Inputs!$B$12</f>
        <v/>
      </c>
      <c r="E7" s="20">
        <f>SUM(B7:D7)</f>
        <v/>
      </c>
    </row>
    <row r="8">
      <c r="A8" s="22" t="inlineStr">
        <is>
          <t>fee income</t>
        </is>
      </c>
      <c r="B8" s="20">
        <f>Inputs!$B$13/10000*'4_Trade'!G10*Inputs!$B$12</f>
        <v/>
      </c>
      <c r="C8" s="20">
        <f>Inputs!$B$13/10000*'4_Trade'!H10*Inputs!$B$12</f>
        <v/>
      </c>
      <c r="D8" s="20">
        <f>Inputs!$B$13/10000*'4_Trade'!I10*Inputs!$B$12</f>
        <v/>
      </c>
      <c r="E8" s="20">
        <f>SUM(B8:D8)</f>
        <v/>
      </c>
    </row>
    <row r="9">
      <c r="A9" s="22" t="inlineStr">
        <is>
          <t>hedge notional $ (Layer 3)</t>
        </is>
      </c>
      <c r="B9" s="20">
        <f>'7_Closure'!B7</f>
        <v/>
      </c>
      <c r="C9" s="20">
        <f>'7_Closure'!C7</f>
        <v/>
      </c>
      <c r="D9" s="20">
        <f>'7_Closure'!D7</f>
        <v/>
      </c>
      <c r="E9" s="20">
        <f>SUM(B9:D9)</f>
        <v/>
      </c>
    </row>
    <row r="10">
      <c r="A10" s="22" t="inlineStr">
        <is>
          <t>hedge+exec+order cost</t>
        </is>
      </c>
      <c r="B10" s="20">
        <f>-(Inputs!$B$14+Inputs!$B$15)*B9</f>
        <v/>
      </c>
      <c r="C10" s="20">
        <f>-(Inputs!$B$14+Inputs!$B$15)*C9</f>
        <v/>
      </c>
      <c r="D10" s="20">
        <f>-(Inputs!$B$14+Inputs!$B$15)*D9</f>
        <v/>
      </c>
      <c r="E10" s="20">
        <f>SUM(B10:D10)</f>
        <v/>
      </c>
    </row>
    <row r="11">
      <c r="A11" s="22" t="inlineStr">
        <is>
          <t>financing</t>
        </is>
      </c>
      <c r="B11" s="20">
        <f>-MAX(0,B4-Inputs!$D$27)*Inputs!$B$16</f>
        <v/>
      </c>
      <c r="C11" s="20">
        <f>-MAX(0,C4-Inputs!$D$28)*Inputs!$B$16</f>
        <v/>
      </c>
      <c r="D11" s="20">
        <f>-MAX(0,D4-Inputs!$D$29)*Inputs!$B$16</f>
        <v/>
      </c>
      <c r="E11" s="20">
        <f>SUM(B11:D11)</f>
        <v/>
      </c>
    </row>
    <row r="12">
      <c r="A12" s="22" t="inlineStr">
        <is>
          <t>HLP yield</t>
        </is>
      </c>
      <c r="B12" s="20">
        <f>IF(Inputs!$E$27=1,Inputs!$B$17*Inputs!$D$27,0)</f>
        <v/>
      </c>
      <c r="C12" s="20">
        <f>IF(Inputs!$E$28=1,Inputs!$B$17*Inputs!$D$28,0)</f>
        <v/>
      </c>
      <c r="D12" s="20">
        <f>IF(Inputs!$E$29=1,Inputs!$B$17*Inputs!$D$29,0)</f>
        <v/>
      </c>
      <c r="E12" s="20">
        <f>SUM(B12:D12)</f>
        <v/>
      </c>
    </row>
    <row r="13">
      <c r="A13" s="3" t="inlineStr">
        <is>
          <t>NET $ / yr</t>
        </is>
      </c>
      <c r="B13" s="23">
        <f>SUM(B5:B8)+SUM(B10:B12)</f>
        <v/>
      </c>
      <c r="C13" s="23">
        <f>SUM(C5:C8)+SUM(C10:C12)</f>
        <v/>
      </c>
      <c r="D13" s="23">
        <f>SUM(D5:D8)+SUM(D10:D12)</f>
        <v/>
      </c>
      <c r="E13" s="23">
        <f>SUM(B13:D13)</f>
        <v/>
      </c>
    </row>
    <row r="14">
      <c r="A14" s="22" t="inlineStr">
        <is>
          <t>equity $</t>
        </is>
      </c>
      <c r="B14" s="20">
        <f>Inputs!$D$27</f>
        <v/>
      </c>
      <c r="C14" s="20">
        <f>Inputs!$D$28</f>
        <v/>
      </c>
      <c r="D14" s="20">
        <f>Inputs!$D$29</f>
        <v/>
      </c>
      <c r="E14" s="20">
        <f>SUM(B14:D14)</f>
        <v/>
      </c>
    </row>
    <row r="15">
      <c r="A15" s="3" t="inlineStr">
        <is>
          <t>NET APR</t>
        </is>
      </c>
      <c r="B15" s="24">
        <f>B13/B14</f>
        <v/>
      </c>
      <c r="C15" s="24">
        <f>C13/C14</f>
        <v/>
      </c>
      <c r="D15" s="24">
        <f>D13/D14</f>
        <v/>
      </c>
      <c r="E15" s="24">
        <f>E13/E14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LAYER 3 - PERP UNITS -&gt; ACTUAL MARGIN: the one doorway (station 17)</t>
        </is>
      </c>
    </row>
    <row r="3">
      <c r="A3" s="12" t="inlineStr">
        <is>
          <t>line</t>
        </is>
      </c>
      <c r="B3" s="12" t="inlineStr">
        <is>
          <t>LP-1</t>
        </is>
      </c>
      <c r="C3" s="12" t="inlineStr">
        <is>
          <t>LP-2</t>
        </is>
      </c>
      <c r="D3" s="12" t="inlineStr">
        <is>
          <t>LP-3</t>
        </is>
      </c>
      <c r="E3" s="12" t="inlineStr">
        <is>
          <t>TOTAL</t>
        </is>
      </c>
    </row>
    <row r="4">
      <c r="A4" s="22" t="inlineStr">
        <is>
          <t>net PERP UNITS (sum q_i*V)</t>
        </is>
      </c>
      <c r="B4" s="15">
        <f>SUMPRODUCT('4_Trade'!D4:D8,'3_Portfolio'!$C$4:$C$8)</f>
        <v/>
      </c>
      <c r="C4" s="15">
        <f>SUMPRODUCT('4_Trade'!E4:E8,'3_Portfolio'!$C$4:$C$8)</f>
        <v/>
      </c>
      <c r="D4" s="15">
        <f>SUMPRODUCT('4_Trade'!F4:F8,'3_Portfolio'!$C$4:$C$8)</f>
        <v/>
      </c>
      <c r="E4" s="15">
        <f>SUM(B4:D4)</f>
        <v/>
      </c>
    </row>
    <row r="5">
      <c r="A5" s="22" t="inlineStr">
        <is>
          <t>x margin per unit $</t>
        </is>
      </c>
      <c r="B5" s="20">
        <f>Inputs!$B$20</f>
        <v/>
      </c>
      <c r="C5" s="20">
        <f>Inputs!$B$20</f>
        <v/>
      </c>
      <c r="D5" s="20">
        <f>Inputs!$B$20</f>
        <v/>
      </c>
      <c r="E5" s="20" t="n"/>
    </row>
    <row r="6">
      <c r="A6" s="22" t="inlineStr">
        <is>
          <t>x L0</t>
        </is>
      </c>
      <c r="B6" s="20">
        <f>Inputs!$B$21</f>
        <v/>
      </c>
      <c r="C6" s="20">
        <f>Inputs!$B$21</f>
        <v/>
      </c>
      <c r="D6" s="20">
        <f>Inputs!$B$21</f>
        <v/>
      </c>
      <c r="E6" s="20" t="n"/>
    </row>
    <row r="7">
      <c r="A7" s="3">
        <f> MARGIN / CASH $ (the doorway)</f>
        <v/>
      </c>
      <c r="B7" s="25">
        <f>B4*B5*B6</f>
        <v/>
      </c>
      <c r="C7" s="25">
        <f>C4*C5*C6</f>
        <v/>
      </c>
      <c r="D7" s="25">
        <f>D4*D5*D6</f>
        <v/>
      </c>
      <c r="E7" s="25">
        <f>SUM(B7:D7)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LOOP CLOSURE - HEDGE READBACK: exposure = NetPerp + sum Delta(u)*q(u) -&gt; back to the perp book</t>
        </is>
      </c>
    </row>
    <row r="3">
      <c r="A3" s="12" t="inlineStr">
        <is>
          <t>line</t>
        </is>
      </c>
      <c r="B3" s="12" t="inlineStr">
        <is>
          <t>LP-1</t>
        </is>
      </c>
      <c r="C3" s="12" t="inlineStr">
        <is>
          <t>LP-2</t>
        </is>
      </c>
      <c r="D3" s="12" t="inlineStr">
        <is>
          <t>LP-3</t>
        </is>
      </c>
      <c r="E3" s="12" t="inlineStr">
        <is>
          <t>TOTAL</t>
        </is>
      </c>
    </row>
    <row r="4">
      <c r="A4" s="3" t="inlineStr">
        <is>
          <t>option delta (sum Delta*q_i) units</t>
        </is>
      </c>
      <c r="B4" s="15">
        <f>SUMPRODUCT('4_Trade'!D4:D8,Inputs!$D$33:$D$37)</f>
        <v/>
      </c>
      <c r="C4" s="15">
        <f>SUMPRODUCT('4_Trade'!E4:E8,Inputs!$D$33:$D$37)</f>
        <v/>
      </c>
      <c r="D4" s="15">
        <f>SUMPRODUCT('4_Trade'!F4:F8,Inputs!$D$33:$D$37)</f>
        <v/>
      </c>
      <c r="E4" s="15">
        <f>SUM(B4:D4)</f>
        <v/>
      </c>
    </row>
    <row r="5">
      <c r="A5" s="3" t="inlineStr">
        <is>
          <t>required hedge NetPerp</t>
        </is>
      </c>
      <c r="B5" s="15">
        <f>-Inputs!$B$18*B4</f>
        <v/>
      </c>
      <c r="C5" s="15">
        <f>-Inputs!$B$18*C4</f>
        <v/>
      </c>
      <c r="D5" s="15">
        <f>-Inputs!$B$18*D4</f>
        <v/>
      </c>
      <c r="E5" s="15">
        <f>SUM(B5:D5)</f>
        <v/>
      </c>
    </row>
    <row r="6">
      <c r="A6" s="3" t="inlineStr">
        <is>
          <t>RESIDUAL exposure (LOOP CLOSURE)</t>
        </is>
      </c>
      <c r="B6" s="26">
        <f>B5+B4</f>
        <v/>
      </c>
      <c r="C6" s="26">
        <f>C5+C4</f>
        <v/>
      </c>
      <c r="D6" s="26">
        <f>D5+D4</f>
        <v/>
      </c>
      <c r="E6" s="26">
        <f>SUM(B6:D6)</f>
        <v/>
      </c>
    </row>
    <row r="7">
      <c r="A7" s="3" t="inlineStr">
        <is>
          <t>hedge notional $ -&gt; Layer 2b</t>
        </is>
      </c>
      <c r="B7" s="20">
        <f>ABS(B5)*Inputs!$B$19</f>
        <v/>
      </c>
      <c r="C7" s="20">
        <f>ABS(C5)*Inputs!$B$19</f>
        <v/>
      </c>
      <c r="D7" s="20">
        <f>ABS(D5)*Inputs!$B$19</f>
        <v/>
      </c>
      <c r="E7" s="20">
        <f>SUM(B7:D7)</f>
        <v/>
      </c>
    </row>
    <row r="8">
      <c r="A8" s="3" t="inlineStr">
        <is>
          <t>perp-book exposure used $</t>
        </is>
      </c>
      <c r="B8" s="20">
        <f>B7</f>
        <v/>
      </c>
      <c r="C8" s="20">
        <f>C7</f>
        <v/>
      </c>
      <c r="D8" s="20">
        <f>D7</f>
        <v/>
      </c>
      <c r="E8" s="20">
        <f>SUM(B8:D8)</f>
        <v/>
      </c>
    </row>
    <row r="10">
      <c r="A10" s="2" t="inlineStr">
        <is>
          <t>LOOP CLOSED?</t>
        </is>
      </c>
      <c r="B10" s="27">
        <f>IF(ABS(E6)&lt;0.000001,"YES - residual delta = 0: readback re-hedges exactly the perp book the shapes came from","NO - residual remains (hedge_ratio&lt;1)")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" t="inlineStr">
        <is>
          <t>TRADER CIRCUIT — shared perp wallets -&gt; carve -&gt; option position -&gt; close -&gt; carved perp closes back</t>
        </is>
      </c>
    </row>
    <row r="3">
      <c r="A3" s="12" t="inlineStr">
        <is>
          <t>step</t>
        </is>
      </c>
      <c r="B3" s="12" t="inlineStr">
        <is>
          <t>LONG club</t>
        </is>
      </c>
      <c r="C3" s="12" t="inlineStr">
        <is>
          <t>SHORT club</t>
        </is>
      </c>
      <c r="D3" s="12" t="inlineStr">
        <is>
          <t>TOTAL</t>
        </is>
      </c>
    </row>
    <row r="4">
      <c r="A4" s="22" t="inlineStr">
        <is>
          <t>1. perps aggregated into the shared wallet ($ notional)</t>
        </is>
      </c>
      <c r="B4" s="20">
        <f>Inputs!$B$42</f>
        <v/>
      </c>
      <c r="C4" s="20">
        <f>Inputs!$B$43</f>
        <v/>
      </c>
      <c r="D4" s="20">
        <f>B4+C4</f>
        <v/>
      </c>
    </row>
    <row r="5">
      <c r="A5" s="22" t="inlineStr">
        <is>
          <t>2. club equity posted (= notional x margin_frac)</t>
        </is>
      </c>
      <c r="B5" s="20">
        <f>B4*Inputs!$B$44</f>
        <v/>
      </c>
      <c r="C5" s="20">
        <f>C4*Inputs!$B$44</f>
        <v/>
      </c>
      <c r="D5" s="20">
        <f>B5+C5</f>
        <v/>
      </c>
    </row>
    <row r="6">
      <c r="A6" s="3" t="inlineStr">
        <is>
          <t>3. CARVE: notional carved out to back options</t>
        </is>
      </c>
      <c r="B6" s="28">
        <f>B4*Inputs!$B$45</f>
        <v/>
      </c>
      <c r="C6" s="28">
        <f>C4*Inputs!$B$46</f>
        <v/>
      </c>
      <c r="D6" s="28">
        <f>B6+C6</f>
        <v/>
      </c>
    </row>
    <row r="7">
      <c r="A7" s="22" t="inlineStr">
        <is>
          <t>4. equity carved OUT of the perps tab (club.equity -= )</t>
        </is>
      </c>
      <c r="B7" s="20">
        <f>B6*Inputs!$B$44</f>
        <v/>
      </c>
      <c r="C7" s="20">
        <f>C6*Inputs!$B$44</f>
        <v/>
      </c>
      <c r="D7" s="20">
        <f>B7+C7</f>
        <v/>
      </c>
    </row>
    <row r="8">
      <c r="A8" s="22" t="inlineStr">
        <is>
          <t>5. perps tab AFTER carve (notional remaining)</t>
        </is>
      </c>
      <c r="B8" s="20">
        <f>B4-B6</f>
        <v/>
      </c>
      <c r="C8" s="20">
        <f>C4-C6</f>
        <v/>
      </c>
      <c r="D8" s="20">
        <f>B8+C8</f>
        <v/>
      </c>
    </row>
    <row r="9">
      <c r="A9" s="22" t="inlineStr">
        <is>
          <t>6. perps tab AFTER carve (equity remaining)</t>
        </is>
      </c>
      <c r="B9" s="20">
        <f>B5-B7</f>
        <v/>
      </c>
      <c r="C9" s="20">
        <f>C5-C7</f>
        <v/>
      </c>
      <c r="D9" s="20">
        <f>B9+C9</f>
        <v/>
      </c>
    </row>
    <row r="10">
      <c r="A10" s="22" t="inlineStr">
        <is>
          <t>7. option position backed by the carved slice ($)</t>
        </is>
      </c>
      <c r="B10" s="20">
        <f>B6</f>
        <v/>
      </c>
      <c r="C10" s="20">
        <f>C6</f>
        <v/>
      </c>
      <c r="D10" s="20">
        <f>B10+C10</f>
        <v/>
      </c>
    </row>
    <row r="11">
      <c r="A11" s="22" t="inlineStr">
        <is>
          <t>8. P&amp;L on the carved slice while open</t>
        </is>
      </c>
      <c r="B11" s="20">
        <f>B7*Inputs!$B$47</f>
        <v/>
      </c>
      <c r="C11" s="20">
        <f>C7*Inputs!$B$47</f>
        <v/>
      </c>
      <c r="D11" s="20">
        <f>B11+C11</f>
        <v/>
      </c>
    </row>
    <row r="12">
      <c r="A12" s="3" t="inlineStr">
        <is>
          <t>8a. P&amp;L on the carved PERP leg</t>
        </is>
      </c>
      <c r="B12" s="28">
        <f>B7+B11</f>
        <v/>
      </c>
      <c r="C12" s="28">
        <f>C7+C11</f>
        <v/>
      </c>
      <c r="D12" s="28">
        <f>B12+C12</f>
        <v/>
      </c>
    </row>
    <row r="13">
      <c r="A13" s="22" t="inlineStr">
        <is>
          <t>8b. P&amp;L on the perp-OPTION leg</t>
        </is>
      </c>
      <c r="B13" s="20">
        <f>B7*Inputs!$B$48</f>
        <v/>
      </c>
      <c r="C13" s="20">
        <f>C7*Inputs!$B$48</f>
        <v/>
      </c>
      <c r="D13" s="20">
        <f>B13+C13</f>
        <v/>
      </c>
    </row>
    <row r="14">
      <c r="A14" s="32" t="inlineStr">
        <is>
          <t>9. CLOSE — carved perp CLOSES; option + its perp P&amp;L CASHED OUT DIRECTLY</t>
        </is>
      </c>
      <c r="B14" s="33">
        <f>B7+B12+B13</f>
        <v/>
      </c>
      <c r="C14" s="33">
        <f>C7+C12+C13</f>
        <v/>
      </c>
      <c r="D14" s="33">
        <f>B14+C14</f>
        <v/>
      </c>
    </row>
    <row r="15">
      <c r="A15" s="22" t="inlineStr">
        <is>
          <t>10. perps tab after close (equity remaining, carve gone)</t>
        </is>
      </c>
      <c r="B15" s="20">
        <f>B9</f>
        <v/>
      </c>
      <c r="C15" s="20">
        <f>C9</f>
        <v/>
      </c>
      <c r="D15" s="20">
        <f>B15+C15</f>
        <v/>
      </c>
    </row>
    <row r="16">
      <c r="A16" s="3" t="n"/>
      <c r="B16" s="29" t="n"/>
      <c r="C16" s="29" t="n"/>
      <c r="D16" s="29" t="n"/>
    </row>
    <row r="17">
      <c r="A17" s="2" t="inlineStr">
        <is>
          <t>CONSERVATION CHECK — nothing is created or lost at the exit</t>
        </is>
      </c>
      <c r="B17" s="29">
        <f>B13</f>
        <v/>
      </c>
      <c r="C17" s="29">
        <f>C13</f>
        <v/>
      </c>
      <c r="D17" s="29">
        <f>B17+C17</f>
        <v/>
      </c>
    </row>
    <row r="18">
      <c r="A18" s="3" t="inlineStr">
        <is>
          <t>club equity BEFORE carve</t>
        </is>
      </c>
      <c r="B18" s="29">
        <f>B5</f>
        <v/>
      </c>
      <c r="C18" s="29">
        <f>C5</f>
        <v/>
      </c>
      <c r="D18" s="29">
        <f>B18+C18</f>
        <v/>
      </c>
    </row>
    <row r="19">
      <c r="A19" s="3" t="inlineStr">
        <is>
          <t>perps tab after close (row 15)</t>
        </is>
      </c>
      <c r="B19" s="30">
        <f>B15</f>
        <v/>
      </c>
      <c r="C19" s="30">
        <f>C15</f>
        <v/>
      </c>
      <c r="D19" s="30">
        <f>B19+C19</f>
        <v/>
      </c>
    </row>
    <row r="20">
      <c r="A20" s="3" t="inlineStr">
        <is>
          <t>cash paid out at close (row 14)</t>
        </is>
      </c>
      <c r="B20" s="29">
        <f>B14</f>
        <v/>
      </c>
      <c r="C20" s="29">
        <f>C14</f>
        <v/>
      </c>
      <c r="D20" s="29">
        <f>B20+C20</f>
        <v/>
      </c>
    </row>
    <row r="21">
      <c r="A21" s="3" t="inlineStr">
        <is>
          <t>total P&amp;L both legs (12+13)</t>
        </is>
      </c>
      <c r="B21" s="30">
        <f>B12+B13</f>
        <v/>
      </c>
      <c r="C21" s="29">
        <f>C12+C13</f>
        <v/>
      </c>
      <c r="D21" s="29">
        <f>B21+C21</f>
        <v/>
      </c>
    </row>
    <row r="22">
      <c r="A22" s="3" t="inlineStr">
        <is>
          <t>RESIDUAL = (tab_after + cash_out) - before - P&amp;L   (must be 0)</t>
        </is>
      </c>
      <c r="B22" s="30">
        <f>(B19+B20)-B18-B21</f>
        <v/>
      </c>
      <c r="C22" s="30">
        <f>(C19+C20)-C18-C21</f>
        <v/>
      </c>
      <c r="D22" s="30">
        <f>B22+C22</f>
        <v/>
      </c>
    </row>
    <row r="23">
      <c r="A23" s="5" t="n"/>
    </row>
    <row r="24">
      <c r="A24" s="2" t="inlineStr">
        <is>
          <t>TRADER CIRCUIT CLOSED?</t>
        </is>
      </c>
      <c r="B24" s="27">
        <f>IF(ABS(D22)&lt;0.000001,"YES - carved perp closes, option + its perp P&amp;L cash out directly, nothing lost","NO - does not reconcile")</f>
        <v/>
      </c>
    </row>
    <row r="25"/>
    <row r="26">
      <c r="A26" s="5" t="inlineStr">
        <is>
          <t>Option P&amp;L and its backing perp's P&amp;L settle TOGETHER in one direct cash-out - the exit doorway (Layer 3).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2026-08-14T15:26:38Z</dcterms:created>
  <dcterms:modified xsi:type="dcterms:W3CDTF">2026-08-14T15:38:46Z</dcterms:modified>
</cp:coreProperties>
</file>