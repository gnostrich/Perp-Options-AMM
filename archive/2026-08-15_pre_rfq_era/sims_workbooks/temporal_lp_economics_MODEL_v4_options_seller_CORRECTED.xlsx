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Assumptions" sheetId="2" state="visible" r:id="rId2"/>
    <sheet name="Regime_Grid" sheetId="3" state="visible" r:id="rId3"/>
    <sheet name="Scenario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x&quot;"/>
    <numFmt numFmtId="165" formatCode="0.0&quot; bps&quot;"/>
    <numFmt numFmtId="166" formatCode="0.0%"/>
  </numFmts>
  <fonts count="7">
    <font>
      <name val="Calibri"/>
      <family val="2"/>
      <color theme="1"/>
      <sz val="11"/>
      <scheme val="minor"/>
    </font>
    <font/>
    <font>
      <b val="1"/>
    </font>
    <font>
      <b val="1"/>
      <color rgb="001A365D"/>
      <sz val="13"/>
    </font>
    <font>
      <b val="1"/>
      <color rgb="00FFFFFF"/>
      <sz val="13"/>
    </font>
    <font>
      <b val="1"/>
      <color rgb="00FFFFFF"/>
    </font>
    <font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2B6CB0"/>
      </patternFill>
    </fill>
    <fill>
      <patternFill patternType="solid">
        <fgColor rgb="00FFF3CD"/>
      </patternFill>
    </fill>
    <fill>
      <patternFill patternType="solid">
        <fgColor rgb="00EDF2F7"/>
      </patternFill>
    </fill>
    <fill>
      <patternFill patternType="solid">
        <fgColor rgb="00E2E8F0"/>
      </patternFill>
    </fill>
  </fills>
  <borders count="3">
    <border>
      <left/>
      <right/>
      <top/>
      <bottom/>
      <diagonal/>
    </border>
    <border>
      <left style="thin">
        <color rgb="00B7791F"/>
      </left>
      <right style="thin">
        <color rgb="00B7791F"/>
      </right>
      <top style="thin">
        <color rgb="00B7791F"/>
      </top>
      <bottom style="thin">
        <color rgb="00B7791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/>
    </xf>
    <xf numFmtId="1" fontId="0" fillId="4" borderId="1" applyAlignment="1" pivotButton="0" quotePrefix="0" xfId="0">
      <alignment horizontal="right"/>
    </xf>
    <xf numFmtId="0" fontId="6" fillId="0" borderId="0" applyAlignment="1" pivotButton="0" quotePrefix="0" xfId="0">
      <alignment vertical="top" wrapText="1"/>
    </xf>
    <xf numFmtId="2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0" fontId="6" fillId="0" borderId="0" pivotButton="0" quotePrefix="0" xfId="0"/>
    <xf numFmtId="166" fontId="2" fillId="5" borderId="0" applyAlignment="1" pivotButton="0" quotePrefix="0" xfId="0">
      <alignment horizontal="center"/>
    </xf>
    <xf numFmtId="166" fontId="2" fillId="5" borderId="0" pivotButton="0" quotePrefix="0" xfId="0"/>
    <xf numFmtId="166" fontId="0" fillId="0" borderId="2" applyAlignment="1" pivotButton="0" quotePrefix="0" xfId="0">
      <alignment horizontal="right"/>
    </xf>
    <xf numFmtId="166" fontId="0" fillId="4" borderId="1" pivotButton="0" quotePrefix="0" xfId="0"/>
    <xf numFmtId="2" fontId="0" fillId="0" borderId="2" applyAlignment="1" pivotButton="0" quotePrefix="0" xfId="0">
      <alignment horizontal="right"/>
    </xf>
    <xf numFmtId="166" fontId="0" fillId="6" borderId="2" applyAlignment="1" pivotButton="0" quotePrefix="0" xfId="0">
      <alignment horizontal="right"/>
    </xf>
  </cellXfs>
  <cellStyles count="1">
    <cellStyle name="Normal" xfId="0" builtinId="0" hidden="0"/>
  </cellStyles>
  <dxfs count="2">
    <dxf>
      <fill>
        <patternFill patternType="solid">
          <fgColor rgb="00C6F6D5"/>
        </patternFill>
      </fill>
    </dxf>
    <dxf>
      <fill>
        <patternFill patternType="solid">
          <fgColor rgb="00FE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24" customHeight="1">
      <c r="A1" s="1" t="inlineStr">
        <is>
          <t>Temporal LP economics — FAITHFUL perp-OPTIONS-AMM model (v4, auditor-corrected) — BRAINSTORM / non-core</t>
        </is>
      </c>
    </row>
    <row r="2">
      <c r="A2" s="2" t="inlineStr">
        <is>
          <t>Temporal LP economics — FAITHFUL perp-OPTIONS-AMM model (v4, auditor-corrected) — BRAINSTORM / non-core</t>
        </is>
      </c>
    </row>
    <row r="3">
      <c r="A3" s="3" t="inlineStr">
        <is>
          <t>The LP SELLS the perpetual-option book (the bands), delta-hedged on Hyperliquid ⇒ SHORT-VOL. For a PERPETUAL there is</t>
        </is>
      </c>
    </row>
    <row r="4">
      <c r="A4" s="3" t="inlineStr">
        <is>
          <t>no upfront premium: the long's continuous FUNDING = the carry the LP collects. The LP's edge = that carry minus the</t>
        </is>
      </c>
    </row>
    <row r="5">
      <c r="A5" s="3" t="inlineStr">
        <is>
          <t>realized-vol gamma cost. It profits when realized vol &lt; the vol the curve is CALIBRATED to.</t>
        </is>
      </c>
    </row>
    <row r="6">
      <c r="A6" s="4" t="inlineStr"/>
    </row>
    <row r="7">
      <c r="A7" s="2" t="inlineStr">
        <is>
          <t>MODEL (per $ LP equity, annualized) — ONE carry line (no separate premium+funding double-count):</t>
        </is>
      </c>
    </row>
    <row r="8">
      <c r="A8" s="4" t="inlineStr">
        <is>
          <t xml:space="preserve">  G = (m*gamma)*(m*gamma+1)/2      &lt;- LENSED gamma factor of value∝S^(-m*gamma); the steepness knob m IS in it now</t>
        </is>
      </c>
    </row>
    <row r="9">
      <c r="A9" s="4" t="inlineStr">
        <is>
          <t xml:space="preserve">  options_net = book * G * (sigma_cal^2 - RV^2)   = funding-carry(priced at sigma_cal) MINUS realized gamma bleed</t>
        </is>
      </c>
    </row>
    <row r="10">
      <c r="A10" s="3" t="inlineStr">
        <is>
          <t xml:space="preserve">  BASE = options_net + fee_bps/10000*turnover*days*book - (book-1)*borrow_APR - hedge_fee_cost + book*hedge_funding_APR</t>
        </is>
      </c>
    </row>
    <row r="11">
      <c r="A11" s="3" t="inlineStr">
        <is>
          <t xml:space="preserve">  RESTAKED = BASE + HLP_base_APR*(1 - HLP_tail_haircut*RV)</t>
        </is>
      </c>
    </row>
    <row r="12">
      <c r="A12" s="4" t="inlineStr"/>
    </row>
    <row r="13">
      <c r="A13" s="2" t="inlineStr">
        <is>
          <t>WHAT THE AUDITOR (opus) FIXED vs v3:</t>
        </is>
      </c>
    </row>
    <row r="14">
      <c r="A14" s="4" t="inlineStr">
        <is>
          <t xml:space="preserve">  1. DOUBLE-COUNT removed: v3 had a VRP line AND a separate funding_APR — same perpetual carry twice. Now ONE carry line.</t>
        </is>
      </c>
    </row>
    <row r="15">
      <c r="A15" s="4" t="inlineStr">
        <is>
          <t xml:space="preserve">  2. The knob m is now in the gamma factor: G=(m*gamma)(m*gamma+1)/2, not gamma(gamma+1)/2. At m=2,gamma=2: G=10 (was 3).</t>
        </is>
      </c>
    </row>
    <row r="16">
      <c r="A16" s="4" t="inlineStr">
        <is>
          <t xml:space="preserve">  3. 'IV' reframed as sigma_cal = the vol the curve is CALIBRATED to (an operator SETTING), not an auto market premium.</t>
        </is>
      </c>
    </row>
    <row r="17">
      <c r="A17" s="4" t="inlineStr"/>
    </row>
    <row r="18">
      <c r="A18" s="2" t="inlineStr">
        <is>
          <t>REMAINING OPEN (do not over-read the magnitudes):</t>
        </is>
      </c>
    </row>
    <row r="19">
      <c r="A19" s="4" t="inlineStr">
        <is>
          <t xml:space="preserve">  - The CARRY MAGNITUDE (book*G*sigma_cal^2) assumes funding = the theoretical fair carry; the ACTUAL funding law is</t>
        </is>
      </c>
    </row>
    <row r="20">
      <c r="A20" s="4" t="inlineStr">
        <is>
          <t xml:space="preserve">    update-2 (undecided). book = option value short per $ equity (normalization). Magnitudes ILLUSTRATIVE, need calibration.</t>
        </is>
      </c>
    </row>
    <row r="21">
      <c r="A21" s="4" t="inlineStr">
        <is>
          <t xml:space="preserve">  - sigma_cal&gt;RV is an operator CALIBRATION / flow bet, not an automatic variance risk premium. Reduced-form sketch, not a backtest.</t>
        </is>
      </c>
    </row>
  </sheetData>
  <mergeCells count="2">
    <mergeCell ref="A2"/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96" customWidth="1" min="3" max="3"/>
  </cols>
  <sheetData>
    <row r="1" ht="24" customHeight="1">
      <c r="A1" s="1" t="inlineStr">
        <is>
          <t>EDITABLE ASSUMPTIONS (edit yellow cells; everything recomputes)</t>
        </is>
      </c>
    </row>
    <row r="3">
      <c r="A3" s="5" t="inlineStr">
        <is>
          <t>Assumption</t>
        </is>
      </c>
      <c r="B3" s="5" t="inlineStr">
        <is>
          <t>Value</t>
        </is>
      </c>
      <c r="C3" s="5" t="inlineStr">
        <is>
          <t>Disclosure / note</t>
        </is>
      </c>
    </row>
    <row r="4">
      <c r="A4" s="3" t="inlineStr">
        <is>
          <t>days_per_year</t>
        </is>
      </c>
      <c r="B4" s="6" t="n">
        <v>365</v>
      </c>
      <c r="C4" s="7" t="inlineStr">
        <is>
          <t>annualization</t>
        </is>
      </c>
    </row>
    <row r="5">
      <c r="A5" s="3" t="inlineStr">
        <is>
          <t>gamma_curve</t>
        </is>
      </c>
      <c r="B5" s="8" t="n">
        <v>2</v>
      </c>
      <c r="C5" s="7" t="inlineStr">
        <is>
          <t>base gamma of value∝S^(-gamma).</t>
        </is>
      </c>
    </row>
    <row r="6">
      <c r="A6" s="3" t="inlineStr">
        <is>
          <t>m_steepness</t>
        </is>
      </c>
      <c r="B6" s="9" t="n">
        <v>1</v>
      </c>
      <c r="C6" s="7" t="inlineStr">
        <is>
          <t>the kurtosis/steepness knob. Lensed exponent = m*gamma. Enters the gamma factor G=(m*gamma)(m*gamma+1)/2.</t>
        </is>
      </c>
    </row>
    <row r="7">
      <c r="A7" s="3" t="inlineStr">
        <is>
          <t>LP_leverage</t>
        </is>
      </c>
      <c r="B7" s="9" t="n">
        <v>1</v>
      </c>
      <c r="C7" s="7" t="inlineStr">
        <is>
          <t>LEVERAGE on the Temporal/options side = option value short per $ of equity (1.0x = unlevered). HLP is additive at margin and NOT levered (per entry 486). borrow_APR below is its financing cost.</t>
        </is>
      </c>
    </row>
    <row r="8">
      <c r="A8" s="3" t="inlineStr">
        <is>
          <t>daily_turnover</t>
        </is>
      </c>
      <c r="B8" s="8" t="n">
        <v>1</v>
      </c>
      <c r="C8" s="7" t="inlineStr">
        <is>
          <t>volume / notional per day (fee income).</t>
        </is>
      </c>
    </row>
    <row r="9">
      <c r="A9" s="3" t="inlineStr">
        <is>
          <t>fee_bps</t>
        </is>
      </c>
      <c r="B9" s="10" t="n">
        <v>5</v>
      </c>
      <c r="C9" s="7" t="inlineStr">
        <is>
          <t>taker fee, bps of notional traded.</t>
        </is>
      </c>
    </row>
    <row r="10">
      <c r="A10" s="3" t="inlineStr">
        <is>
          <t>borrow_APR</t>
        </is>
      </c>
      <c r="B10" s="11" t="n">
        <v>0.06</v>
      </c>
      <c r="C10" s="7" t="inlineStr">
        <is>
          <t>financing on the (book-1) leveraged portion.</t>
        </is>
      </c>
    </row>
    <row r="11">
      <c r="A11" s="3" t="inlineStr">
        <is>
          <t>hedge_fee_cost</t>
        </is>
      </c>
      <c r="B11" s="11" t="n">
        <v>0</v>
      </c>
      <c r="C11" s="7" t="inlineStr">
        <is>
          <t>net fee cost of the HL delta hedge (~0 fee-neutral).</t>
        </is>
      </c>
    </row>
    <row r="12">
      <c r="A12" s="3" t="inlineStr">
        <is>
          <t>hedge_funding_APR</t>
        </is>
      </c>
      <c r="B12" s="11" t="n">
        <v>0</v>
      </c>
      <c r="C12" s="7" t="inlineStr">
        <is>
          <t>funding on the HL hedge legs, +/- (default 0).</t>
        </is>
      </c>
    </row>
    <row r="13">
      <c r="A13" s="3" t="inlineStr">
        <is>
          <t>HLP_base_APR</t>
        </is>
      </c>
      <c r="B13" s="11" t="n">
        <v>0.1</v>
      </c>
      <c r="C13" s="7" t="inlineStr">
        <is>
          <t>yield on HLP margin (additive, NOT levered).</t>
        </is>
      </c>
    </row>
    <row r="14">
      <c r="A14" s="3" t="inlineStr">
        <is>
          <t>HLP_tail_haircut</t>
        </is>
      </c>
      <c r="B14" s="8" t="n">
        <v>0</v>
      </c>
      <c r="C14" s="7" t="inlineStr">
        <is>
          <t>0=pure additive; &gt;0 shaves HLP as RV rises.</t>
        </is>
      </c>
    </row>
    <row r="15">
      <c r="A15" s="3" t="inlineStr">
        <is>
          <t>Grid axes (editable):</t>
        </is>
      </c>
    </row>
    <row r="16">
      <c r="A16" s="12" t="inlineStr">
        <is>
          <t>realized_vol RV (grid ROWS) -&gt;</t>
        </is>
      </c>
      <c r="B16" s="11" t="n">
        <v>0.2</v>
      </c>
      <c r="C16" s="11" t="n">
        <v>0.4</v>
      </c>
      <c r="D16" s="11" t="n">
        <v>0.6</v>
      </c>
      <c r="E16" s="11" t="n">
        <v>0.8</v>
      </c>
      <c r="F16" s="11" t="n">
        <v>1</v>
      </c>
    </row>
    <row r="17">
      <c r="A17" s="12" t="inlineStr">
        <is>
          <t>sigma_cal calibration vol (grid COLS) -&gt;</t>
        </is>
      </c>
      <c r="B17" s="11" t="n">
        <v>0.3</v>
      </c>
      <c r="C17" s="11" t="n">
        <v>0.5</v>
      </c>
      <c r="D17" s="11" t="n">
        <v>0.7</v>
      </c>
      <c r="E17" s="11" t="n">
        <v>0.9</v>
      </c>
      <c r="F17" s="11" t="n">
        <v>1.1</v>
      </c>
    </row>
    <row r="19">
      <c r="A19" s="12" t="inlineStr">
        <is>
          <t>Legend: yellow=editable. G=(m*gamma)(m*gamma+1)/2. options_net=book*G*(sigma_cal^2-RV^2).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REGIME GRID — net LP yield APR. rows=REALIZED vol, cols=CALIBRATION vol. green=profit / red=loss.</t>
        </is>
      </c>
    </row>
    <row r="3">
      <c r="A3" s="2" t="inlineStr">
        <is>
          <t>BASE — options-seller LP net APR (dollar margin).</t>
        </is>
      </c>
    </row>
    <row r="4">
      <c r="A4" s="3" t="inlineStr">
        <is>
          <t>RV \ sigma_cal</t>
        </is>
      </c>
      <c r="B4" s="13">
        <f>Assumptions!B$17</f>
        <v/>
      </c>
      <c r="C4" s="13">
        <f>Assumptions!C$17</f>
        <v/>
      </c>
      <c r="D4" s="13">
        <f>Assumptions!D$17</f>
        <v/>
      </c>
      <c r="E4" s="13">
        <f>Assumptions!E$17</f>
        <v/>
      </c>
      <c r="F4" s="13">
        <f>Assumptions!F$17</f>
        <v/>
      </c>
    </row>
    <row r="5">
      <c r="A5" s="14">
        <f>Assumptions!B$16</f>
        <v/>
      </c>
      <c r="B5" s="15">
        <f>Assumptions!$B$7*((Assumptions!$B$6*Assumptions!$B$5)*((Assumptions!$B$6*Assumptions!$B$5)+1)/2)*((B$4)^2-($A5)^2)+Assumptions!$B$9/10000*Assumptions!$B$8*Assumptions!$B$4*Assumptions!$B$7-(Assumptions!$B$7-1)*Assumptions!$B$10-Assumptions!$B$11+Assumptions!$B$7*Assumptions!$B$12</f>
        <v/>
      </c>
      <c r="C5" s="15">
        <f>Assumptions!$B$7*((Assumptions!$B$6*Assumptions!$B$5)*((Assumptions!$B$6*Assumptions!$B$5)+1)/2)*((C$4)^2-($A5)^2)+Assumptions!$B$9/10000*Assumptions!$B$8*Assumptions!$B$4*Assumptions!$B$7-(Assumptions!$B$7-1)*Assumptions!$B$10-Assumptions!$B$11+Assumptions!$B$7*Assumptions!$B$12</f>
        <v/>
      </c>
      <c r="D5" s="15">
        <f>Assumptions!$B$7*((Assumptions!$B$6*Assumptions!$B$5)*((Assumptions!$B$6*Assumptions!$B$5)+1)/2)*((D$4)^2-($A5)^2)+Assumptions!$B$9/10000*Assumptions!$B$8*Assumptions!$B$4*Assumptions!$B$7-(Assumptions!$B$7-1)*Assumptions!$B$10-Assumptions!$B$11+Assumptions!$B$7*Assumptions!$B$12</f>
        <v/>
      </c>
      <c r="E5" s="15">
        <f>Assumptions!$B$7*((Assumptions!$B$6*Assumptions!$B$5)*((Assumptions!$B$6*Assumptions!$B$5)+1)/2)*((E$4)^2-($A5)^2)+Assumptions!$B$9/10000*Assumptions!$B$8*Assumptions!$B$4*Assumptions!$B$7-(Assumptions!$B$7-1)*Assumptions!$B$10-Assumptions!$B$11+Assumptions!$B$7*Assumptions!$B$12</f>
        <v/>
      </c>
      <c r="F5" s="15">
        <f>Assumptions!$B$7*((Assumptions!$B$6*Assumptions!$B$5)*((Assumptions!$B$6*Assumptions!$B$5)+1)/2)*((F$4)^2-($A5)^2)+Assumptions!$B$9/10000*Assumptions!$B$8*Assumptions!$B$4*Assumptions!$B$7-(Assumptions!$B$7-1)*Assumptions!$B$10-Assumptions!$B$11+Assumptions!$B$7*Assumptions!$B$12</f>
        <v/>
      </c>
    </row>
    <row r="6">
      <c r="A6" s="14">
        <f>Assumptions!C$16</f>
        <v/>
      </c>
      <c r="B6" s="15">
        <f>Assumptions!$B$7*((Assumptions!$B$6*Assumptions!$B$5)*((Assumptions!$B$6*Assumptions!$B$5)+1)/2)*((B$4)^2-($A6)^2)+Assumptions!$B$9/10000*Assumptions!$B$8*Assumptions!$B$4*Assumptions!$B$7-(Assumptions!$B$7-1)*Assumptions!$B$10-Assumptions!$B$11+Assumptions!$B$7*Assumptions!$B$12</f>
        <v/>
      </c>
      <c r="C6" s="15">
        <f>Assumptions!$B$7*((Assumptions!$B$6*Assumptions!$B$5)*((Assumptions!$B$6*Assumptions!$B$5)+1)/2)*((C$4)^2-($A6)^2)+Assumptions!$B$9/10000*Assumptions!$B$8*Assumptions!$B$4*Assumptions!$B$7-(Assumptions!$B$7-1)*Assumptions!$B$10-Assumptions!$B$11+Assumptions!$B$7*Assumptions!$B$12</f>
        <v/>
      </c>
      <c r="D6" s="15">
        <f>Assumptions!$B$7*((Assumptions!$B$6*Assumptions!$B$5)*((Assumptions!$B$6*Assumptions!$B$5)+1)/2)*((D$4)^2-($A6)^2)+Assumptions!$B$9/10000*Assumptions!$B$8*Assumptions!$B$4*Assumptions!$B$7-(Assumptions!$B$7-1)*Assumptions!$B$10-Assumptions!$B$11+Assumptions!$B$7*Assumptions!$B$12</f>
        <v/>
      </c>
      <c r="E6" s="15">
        <f>Assumptions!$B$7*((Assumptions!$B$6*Assumptions!$B$5)*((Assumptions!$B$6*Assumptions!$B$5)+1)/2)*((E$4)^2-($A6)^2)+Assumptions!$B$9/10000*Assumptions!$B$8*Assumptions!$B$4*Assumptions!$B$7-(Assumptions!$B$7-1)*Assumptions!$B$10-Assumptions!$B$11+Assumptions!$B$7*Assumptions!$B$12</f>
        <v/>
      </c>
      <c r="F6" s="15">
        <f>Assumptions!$B$7*((Assumptions!$B$6*Assumptions!$B$5)*((Assumptions!$B$6*Assumptions!$B$5)+1)/2)*((F$4)^2-($A6)^2)+Assumptions!$B$9/10000*Assumptions!$B$8*Assumptions!$B$4*Assumptions!$B$7-(Assumptions!$B$7-1)*Assumptions!$B$10-Assumptions!$B$11+Assumptions!$B$7*Assumptions!$B$12</f>
        <v/>
      </c>
    </row>
    <row r="7">
      <c r="A7" s="14">
        <f>Assumptions!D$16</f>
        <v/>
      </c>
      <c r="B7" s="15">
        <f>Assumptions!$B$7*((Assumptions!$B$6*Assumptions!$B$5)*((Assumptions!$B$6*Assumptions!$B$5)+1)/2)*((B$4)^2-($A7)^2)+Assumptions!$B$9/10000*Assumptions!$B$8*Assumptions!$B$4*Assumptions!$B$7-(Assumptions!$B$7-1)*Assumptions!$B$10-Assumptions!$B$11+Assumptions!$B$7*Assumptions!$B$12</f>
        <v/>
      </c>
      <c r="C7" s="15">
        <f>Assumptions!$B$7*((Assumptions!$B$6*Assumptions!$B$5)*((Assumptions!$B$6*Assumptions!$B$5)+1)/2)*((C$4)^2-($A7)^2)+Assumptions!$B$9/10000*Assumptions!$B$8*Assumptions!$B$4*Assumptions!$B$7-(Assumptions!$B$7-1)*Assumptions!$B$10-Assumptions!$B$11+Assumptions!$B$7*Assumptions!$B$12</f>
        <v/>
      </c>
      <c r="D7" s="15">
        <f>Assumptions!$B$7*((Assumptions!$B$6*Assumptions!$B$5)*((Assumptions!$B$6*Assumptions!$B$5)+1)/2)*((D$4)^2-($A7)^2)+Assumptions!$B$9/10000*Assumptions!$B$8*Assumptions!$B$4*Assumptions!$B$7-(Assumptions!$B$7-1)*Assumptions!$B$10-Assumptions!$B$11+Assumptions!$B$7*Assumptions!$B$12</f>
        <v/>
      </c>
      <c r="E7" s="15">
        <f>Assumptions!$B$7*((Assumptions!$B$6*Assumptions!$B$5)*((Assumptions!$B$6*Assumptions!$B$5)+1)/2)*((E$4)^2-($A7)^2)+Assumptions!$B$9/10000*Assumptions!$B$8*Assumptions!$B$4*Assumptions!$B$7-(Assumptions!$B$7-1)*Assumptions!$B$10-Assumptions!$B$11+Assumptions!$B$7*Assumptions!$B$12</f>
        <v/>
      </c>
      <c r="F7" s="15">
        <f>Assumptions!$B$7*((Assumptions!$B$6*Assumptions!$B$5)*((Assumptions!$B$6*Assumptions!$B$5)+1)/2)*((F$4)^2-($A7)^2)+Assumptions!$B$9/10000*Assumptions!$B$8*Assumptions!$B$4*Assumptions!$B$7-(Assumptions!$B$7-1)*Assumptions!$B$10-Assumptions!$B$11+Assumptions!$B$7*Assumptions!$B$12</f>
        <v/>
      </c>
    </row>
    <row r="8">
      <c r="A8" s="14">
        <f>Assumptions!E$16</f>
        <v/>
      </c>
      <c r="B8" s="15">
        <f>Assumptions!$B$7*((Assumptions!$B$6*Assumptions!$B$5)*((Assumptions!$B$6*Assumptions!$B$5)+1)/2)*((B$4)^2-($A8)^2)+Assumptions!$B$9/10000*Assumptions!$B$8*Assumptions!$B$4*Assumptions!$B$7-(Assumptions!$B$7-1)*Assumptions!$B$10-Assumptions!$B$11+Assumptions!$B$7*Assumptions!$B$12</f>
        <v/>
      </c>
      <c r="C8" s="15">
        <f>Assumptions!$B$7*((Assumptions!$B$6*Assumptions!$B$5)*((Assumptions!$B$6*Assumptions!$B$5)+1)/2)*((C$4)^2-($A8)^2)+Assumptions!$B$9/10000*Assumptions!$B$8*Assumptions!$B$4*Assumptions!$B$7-(Assumptions!$B$7-1)*Assumptions!$B$10-Assumptions!$B$11+Assumptions!$B$7*Assumptions!$B$12</f>
        <v/>
      </c>
      <c r="D8" s="15">
        <f>Assumptions!$B$7*((Assumptions!$B$6*Assumptions!$B$5)*((Assumptions!$B$6*Assumptions!$B$5)+1)/2)*((D$4)^2-($A8)^2)+Assumptions!$B$9/10000*Assumptions!$B$8*Assumptions!$B$4*Assumptions!$B$7-(Assumptions!$B$7-1)*Assumptions!$B$10-Assumptions!$B$11+Assumptions!$B$7*Assumptions!$B$12</f>
        <v/>
      </c>
      <c r="E8" s="15">
        <f>Assumptions!$B$7*((Assumptions!$B$6*Assumptions!$B$5)*((Assumptions!$B$6*Assumptions!$B$5)+1)/2)*((E$4)^2-($A8)^2)+Assumptions!$B$9/10000*Assumptions!$B$8*Assumptions!$B$4*Assumptions!$B$7-(Assumptions!$B$7-1)*Assumptions!$B$10-Assumptions!$B$11+Assumptions!$B$7*Assumptions!$B$12</f>
        <v/>
      </c>
      <c r="F8" s="15">
        <f>Assumptions!$B$7*((Assumptions!$B$6*Assumptions!$B$5)*((Assumptions!$B$6*Assumptions!$B$5)+1)/2)*((F$4)^2-($A8)^2)+Assumptions!$B$9/10000*Assumptions!$B$8*Assumptions!$B$4*Assumptions!$B$7-(Assumptions!$B$7-1)*Assumptions!$B$10-Assumptions!$B$11+Assumptions!$B$7*Assumptions!$B$12</f>
        <v/>
      </c>
    </row>
    <row r="9">
      <c r="A9" s="14">
        <f>Assumptions!F$16</f>
        <v/>
      </c>
      <c r="B9" s="15">
        <f>Assumptions!$B$7*((Assumptions!$B$6*Assumptions!$B$5)*((Assumptions!$B$6*Assumptions!$B$5)+1)/2)*((B$4)^2-($A9)^2)+Assumptions!$B$9/10000*Assumptions!$B$8*Assumptions!$B$4*Assumptions!$B$7-(Assumptions!$B$7-1)*Assumptions!$B$10-Assumptions!$B$11+Assumptions!$B$7*Assumptions!$B$12</f>
        <v/>
      </c>
      <c r="C9" s="15">
        <f>Assumptions!$B$7*((Assumptions!$B$6*Assumptions!$B$5)*((Assumptions!$B$6*Assumptions!$B$5)+1)/2)*((C$4)^2-($A9)^2)+Assumptions!$B$9/10000*Assumptions!$B$8*Assumptions!$B$4*Assumptions!$B$7-(Assumptions!$B$7-1)*Assumptions!$B$10-Assumptions!$B$11+Assumptions!$B$7*Assumptions!$B$12</f>
        <v/>
      </c>
      <c r="D9" s="15">
        <f>Assumptions!$B$7*((Assumptions!$B$6*Assumptions!$B$5)*((Assumptions!$B$6*Assumptions!$B$5)+1)/2)*((D$4)^2-($A9)^2)+Assumptions!$B$9/10000*Assumptions!$B$8*Assumptions!$B$4*Assumptions!$B$7-(Assumptions!$B$7-1)*Assumptions!$B$10-Assumptions!$B$11+Assumptions!$B$7*Assumptions!$B$12</f>
        <v/>
      </c>
      <c r="E9" s="15">
        <f>Assumptions!$B$7*((Assumptions!$B$6*Assumptions!$B$5)*((Assumptions!$B$6*Assumptions!$B$5)+1)/2)*((E$4)^2-($A9)^2)+Assumptions!$B$9/10000*Assumptions!$B$8*Assumptions!$B$4*Assumptions!$B$7-(Assumptions!$B$7-1)*Assumptions!$B$10-Assumptions!$B$11+Assumptions!$B$7*Assumptions!$B$12</f>
        <v/>
      </c>
      <c r="F9" s="15">
        <f>Assumptions!$B$7*((Assumptions!$B$6*Assumptions!$B$5)*((Assumptions!$B$6*Assumptions!$B$5)+1)/2)*((F$4)^2-($A9)^2)+Assumptions!$B$9/10000*Assumptions!$B$8*Assumptions!$B$4*Assumptions!$B$7-(Assumptions!$B$7-1)*Assumptions!$B$10-Assumptions!$B$11+Assumptions!$B$7*Assumptions!$B$12</f>
        <v/>
      </c>
    </row>
    <row r="12">
      <c r="A12" s="2" t="inlineStr">
        <is>
          <t>RESTAKED — + HLP margin.</t>
        </is>
      </c>
    </row>
    <row r="13">
      <c r="A13" s="3" t="inlineStr">
        <is>
          <t>RV \ sigma_cal</t>
        </is>
      </c>
      <c r="B13" s="13">
        <f>Assumptions!B$17</f>
        <v/>
      </c>
      <c r="C13" s="13">
        <f>Assumptions!C$17</f>
        <v/>
      </c>
      <c r="D13" s="13">
        <f>Assumptions!D$17</f>
        <v/>
      </c>
      <c r="E13" s="13">
        <f>Assumptions!E$17</f>
        <v/>
      </c>
      <c r="F13" s="13">
        <f>Assumptions!F$17</f>
        <v/>
      </c>
    </row>
    <row r="14">
      <c r="A14" s="14">
        <f>Assumptions!B$16</f>
        <v/>
      </c>
      <c r="B14" s="15">
        <f>(Assumptions!$B$7*((Assumptions!$B$6*Assumptions!$B$5)*((Assumptions!$B$6*Assumptions!$B$5)+1)/2)*((B$13)^2-($A14)^2)+Assumptions!$B$9/10000*Assumptions!$B$8*Assumptions!$B$4*Assumptions!$B$7-(Assumptions!$B$7-1)*Assumptions!$B$10-Assumptions!$B$11+Assumptions!$B$7*Assumptions!$B$12)+Assumptions!$B$13*(1-Assumptions!$B$14*$A14)</f>
        <v/>
      </c>
      <c r="C14" s="15">
        <f>(Assumptions!$B$7*((Assumptions!$B$6*Assumptions!$B$5)*((Assumptions!$B$6*Assumptions!$B$5)+1)/2)*((C$13)^2-($A14)^2)+Assumptions!$B$9/10000*Assumptions!$B$8*Assumptions!$B$4*Assumptions!$B$7-(Assumptions!$B$7-1)*Assumptions!$B$10-Assumptions!$B$11+Assumptions!$B$7*Assumptions!$B$12)+Assumptions!$B$13*(1-Assumptions!$B$14*$A14)</f>
        <v/>
      </c>
      <c r="D14" s="15">
        <f>(Assumptions!$B$7*((Assumptions!$B$6*Assumptions!$B$5)*((Assumptions!$B$6*Assumptions!$B$5)+1)/2)*((D$13)^2-($A14)^2)+Assumptions!$B$9/10000*Assumptions!$B$8*Assumptions!$B$4*Assumptions!$B$7-(Assumptions!$B$7-1)*Assumptions!$B$10-Assumptions!$B$11+Assumptions!$B$7*Assumptions!$B$12)+Assumptions!$B$13*(1-Assumptions!$B$14*$A14)</f>
        <v/>
      </c>
      <c r="E14" s="15">
        <f>(Assumptions!$B$7*((Assumptions!$B$6*Assumptions!$B$5)*((Assumptions!$B$6*Assumptions!$B$5)+1)/2)*((E$13)^2-($A14)^2)+Assumptions!$B$9/10000*Assumptions!$B$8*Assumptions!$B$4*Assumptions!$B$7-(Assumptions!$B$7-1)*Assumptions!$B$10-Assumptions!$B$11+Assumptions!$B$7*Assumptions!$B$12)+Assumptions!$B$13*(1-Assumptions!$B$14*$A14)</f>
        <v/>
      </c>
      <c r="F14" s="15">
        <f>(Assumptions!$B$7*((Assumptions!$B$6*Assumptions!$B$5)*((Assumptions!$B$6*Assumptions!$B$5)+1)/2)*((F$13)^2-($A14)^2)+Assumptions!$B$9/10000*Assumptions!$B$8*Assumptions!$B$4*Assumptions!$B$7-(Assumptions!$B$7-1)*Assumptions!$B$10-Assumptions!$B$11+Assumptions!$B$7*Assumptions!$B$12)+Assumptions!$B$13*(1-Assumptions!$B$14*$A14)</f>
        <v/>
      </c>
    </row>
    <row r="15">
      <c r="A15" s="14">
        <f>Assumptions!C$16</f>
        <v/>
      </c>
      <c r="B15" s="15">
        <f>(Assumptions!$B$7*((Assumptions!$B$6*Assumptions!$B$5)*((Assumptions!$B$6*Assumptions!$B$5)+1)/2)*((B$13)^2-($A15)^2)+Assumptions!$B$9/10000*Assumptions!$B$8*Assumptions!$B$4*Assumptions!$B$7-(Assumptions!$B$7-1)*Assumptions!$B$10-Assumptions!$B$11+Assumptions!$B$7*Assumptions!$B$12)+Assumptions!$B$13*(1-Assumptions!$B$14*$A15)</f>
        <v/>
      </c>
      <c r="C15" s="15">
        <f>(Assumptions!$B$7*((Assumptions!$B$6*Assumptions!$B$5)*((Assumptions!$B$6*Assumptions!$B$5)+1)/2)*((C$13)^2-($A15)^2)+Assumptions!$B$9/10000*Assumptions!$B$8*Assumptions!$B$4*Assumptions!$B$7-(Assumptions!$B$7-1)*Assumptions!$B$10-Assumptions!$B$11+Assumptions!$B$7*Assumptions!$B$12)+Assumptions!$B$13*(1-Assumptions!$B$14*$A15)</f>
        <v/>
      </c>
      <c r="D15" s="15">
        <f>(Assumptions!$B$7*((Assumptions!$B$6*Assumptions!$B$5)*((Assumptions!$B$6*Assumptions!$B$5)+1)/2)*((D$13)^2-($A15)^2)+Assumptions!$B$9/10000*Assumptions!$B$8*Assumptions!$B$4*Assumptions!$B$7-(Assumptions!$B$7-1)*Assumptions!$B$10-Assumptions!$B$11+Assumptions!$B$7*Assumptions!$B$12)+Assumptions!$B$13*(1-Assumptions!$B$14*$A15)</f>
        <v/>
      </c>
      <c r="E15" s="15">
        <f>(Assumptions!$B$7*((Assumptions!$B$6*Assumptions!$B$5)*((Assumptions!$B$6*Assumptions!$B$5)+1)/2)*((E$13)^2-($A15)^2)+Assumptions!$B$9/10000*Assumptions!$B$8*Assumptions!$B$4*Assumptions!$B$7-(Assumptions!$B$7-1)*Assumptions!$B$10-Assumptions!$B$11+Assumptions!$B$7*Assumptions!$B$12)+Assumptions!$B$13*(1-Assumptions!$B$14*$A15)</f>
        <v/>
      </c>
      <c r="F15" s="15">
        <f>(Assumptions!$B$7*((Assumptions!$B$6*Assumptions!$B$5)*((Assumptions!$B$6*Assumptions!$B$5)+1)/2)*((F$13)^2-($A15)^2)+Assumptions!$B$9/10000*Assumptions!$B$8*Assumptions!$B$4*Assumptions!$B$7-(Assumptions!$B$7-1)*Assumptions!$B$10-Assumptions!$B$11+Assumptions!$B$7*Assumptions!$B$12)+Assumptions!$B$13*(1-Assumptions!$B$14*$A15)</f>
        <v/>
      </c>
    </row>
    <row r="16">
      <c r="A16" s="14">
        <f>Assumptions!D$16</f>
        <v/>
      </c>
      <c r="B16" s="15">
        <f>(Assumptions!$B$7*((Assumptions!$B$6*Assumptions!$B$5)*((Assumptions!$B$6*Assumptions!$B$5)+1)/2)*((B$13)^2-($A16)^2)+Assumptions!$B$9/10000*Assumptions!$B$8*Assumptions!$B$4*Assumptions!$B$7-(Assumptions!$B$7-1)*Assumptions!$B$10-Assumptions!$B$11+Assumptions!$B$7*Assumptions!$B$12)+Assumptions!$B$13*(1-Assumptions!$B$14*$A16)</f>
        <v/>
      </c>
      <c r="C16" s="15">
        <f>(Assumptions!$B$7*((Assumptions!$B$6*Assumptions!$B$5)*((Assumptions!$B$6*Assumptions!$B$5)+1)/2)*((C$13)^2-($A16)^2)+Assumptions!$B$9/10000*Assumptions!$B$8*Assumptions!$B$4*Assumptions!$B$7-(Assumptions!$B$7-1)*Assumptions!$B$10-Assumptions!$B$11+Assumptions!$B$7*Assumptions!$B$12)+Assumptions!$B$13*(1-Assumptions!$B$14*$A16)</f>
        <v/>
      </c>
      <c r="D16" s="15">
        <f>(Assumptions!$B$7*((Assumptions!$B$6*Assumptions!$B$5)*((Assumptions!$B$6*Assumptions!$B$5)+1)/2)*((D$13)^2-($A16)^2)+Assumptions!$B$9/10000*Assumptions!$B$8*Assumptions!$B$4*Assumptions!$B$7-(Assumptions!$B$7-1)*Assumptions!$B$10-Assumptions!$B$11+Assumptions!$B$7*Assumptions!$B$12)+Assumptions!$B$13*(1-Assumptions!$B$14*$A16)</f>
        <v/>
      </c>
      <c r="E16" s="15">
        <f>(Assumptions!$B$7*((Assumptions!$B$6*Assumptions!$B$5)*((Assumptions!$B$6*Assumptions!$B$5)+1)/2)*((E$13)^2-($A16)^2)+Assumptions!$B$9/10000*Assumptions!$B$8*Assumptions!$B$4*Assumptions!$B$7-(Assumptions!$B$7-1)*Assumptions!$B$10-Assumptions!$B$11+Assumptions!$B$7*Assumptions!$B$12)+Assumptions!$B$13*(1-Assumptions!$B$14*$A16)</f>
        <v/>
      </c>
      <c r="F16" s="15">
        <f>(Assumptions!$B$7*((Assumptions!$B$6*Assumptions!$B$5)*((Assumptions!$B$6*Assumptions!$B$5)+1)/2)*((F$13)^2-($A16)^2)+Assumptions!$B$9/10000*Assumptions!$B$8*Assumptions!$B$4*Assumptions!$B$7-(Assumptions!$B$7-1)*Assumptions!$B$10-Assumptions!$B$11+Assumptions!$B$7*Assumptions!$B$12)+Assumptions!$B$13*(1-Assumptions!$B$14*$A16)</f>
        <v/>
      </c>
    </row>
    <row r="17">
      <c r="A17" s="14">
        <f>Assumptions!E$16</f>
        <v/>
      </c>
      <c r="B17" s="15">
        <f>(Assumptions!$B$7*((Assumptions!$B$6*Assumptions!$B$5)*((Assumptions!$B$6*Assumptions!$B$5)+1)/2)*((B$13)^2-($A17)^2)+Assumptions!$B$9/10000*Assumptions!$B$8*Assumptions!$B$4*Assumptions!$B$7-(Assumptions!$B$7-1)*Assumptions!$B$10-Assumptions!$B$11+Assumptions!$B$7*Assumptions!$B$12)+Assumptions!$B$13*(1-Assumptions!$B$14*$A17)</f>
        <v/>
      </c>
      <c r="C17" s="15">
        <f>(Assumptions!$B$7*((Assumptions!$B$6*Assumptions!$B$5)*((Assumptions!$B$6*Assumptions!$B$5)+1)/2)*((C$13)^2-($A17)^2)+Assumptions!$B$9/10000*Assumptions!$B$8*Assumptions!$B$4*Assumptions!$B$7-(Assumptions!$B$7-1)*Assumptions!$B$10-Assumptions!$B$11+Assumptions!$B$7*Assumptions!$B$12)+Assumptions!$B$13*(1-Assumptions!$B$14*$A17)</f>
        <v/>
      </c>
      <c r="D17" s="15">
        <f>(Assumptions!$B$7*((Assumptions!$B$6*Assumptions!$B$5)*((Assumptions!$B$6*Assumptions!$B$5)+1)/2)*((D$13)^2-($A17)^2)+Assumptions!$B$9/10000*Assumptions!$B$8*Assumptions!$B$4*Assumptions!$B$7-(Assumptions!$B$7-1)*Assumptions!$B$10-Assumptions!$B$11+Assumptions!$B$7*Assumptions!$B$12)+Assumptions!$B$13*(1-Assumptions!$B$14*$A17)</f>
        <v/>
      </c>
      <c r="E17" s="15">
        <f>(Assumptions!$B$7*((Assumptions!$B$6*Assumptions!$B$5)*((Assumptions!$B$6*Assumptions!$B$5)+1)/2)*((E$13)^2-($A17)^2)+Assumptions!$B$9/10000*Assumptions!$B$8*Assumptions!$B$4*Assumptions!$B$7-(Assumptions!$B$7-1)*Assumptions!$B$10-Assumptions!$B$11+Assumptions!$B$7*Assumptions!$B$12)+Assumptions!$B$13*(1-Assumptions!$B$14*$A17)</f>
        <v/>
      </c>
      <c r="F17" s="15">
        <f>(Assumptions!$B$7*((Assumptions!$B$6*Assumptions!$B$5)*((Assumptions!$B$6*Assumptions!$B$5)+1)/2)*((F$13)^2-($A17)^2)+Assumptions!$B$9/10000*Assumptions!$B$8*Assumptions!$B$4*Assumptions!$B$7-(Assumptions!$B$7-1)*Assumptions!$B$10-Assumptions!$B$11+Assumptions!$B$7*Assumptions!$B$12)+Assumptions!$B$13*(1-Assumptions!$B$14*$A17)</f>
        <v/>
      </c>
    </row>
    <row r="18">
      <c r="A18" s="14">
        <f>Assumptions!F$16</f>
        <v/>
      </c>
      <c r="B18" s="15">
        <f>(Assumptions!$B$7*((Assumptions!$B$6*Assumptions!$B$5)*((Assumptions!$B$6*Assumptions!$B$5)+1)/2)*((B$13)^2-($A18)^2)+Assumptions!$B$9/10000*Assumptions!$B$8*Assumptions!$B$4*Assumptions!$B$7-(Assumptions!$B$7-1)*Assumptions!$B$10-Assumptions!$B$11+Assumptions!$B$7*Assumptions!$B$12)+Assumptions!$B$13*(1-Assumptions!$B$14*$A18)</f>
        <v/>
      </c>
      <c r="C18" s="15">
        <f>(Assumptions!$B$7*((Assumptions!$B$6*Assumptions!$B$5)*((Assumptions!$B$6*Assumptions!$B$5)+1)/2)*((C$13)^2-($A18)^2)+Assumptions!$B$9/10000*Assumptions!$B$8*Assumptions!$B$4*Assumptions!$B$7-(Assumptions!$B$7-1)*Assumptions!$B$10-Assumptions!$B$11+Assumptions!$B$7*Assumptions!$B$12)+Assumptions!$B$13*(1-Assumptions!$B$14*$A18)</f>
        <v/>
      </c>
      <c r="D18" s="15">
        <f>(Assumptions!$B$7*((Assumptions!$B$6*Assumptions!$B$5)*((Assumptions!$B$6*Assumptions!$B$5)+1)/2)*((D$13)^2-($A18)^2)+Assumptions!$B$9/10000*Assumptions!$B$8*Assumptions!$B$4*Assumptions!$B$7-(Assumptions!$B$7-1)*Assumptions!$B$10-Assumptions!$B$11+Assumptions!$B$7*Assumptions!$B$12)+Assumptions!$B$13*(1-Assumptions!$B$14*$A18)</f>
        <v/>
      </c>
      <c r="E18" s="15">
        <f>(Assumptions!$B$7*((Assumptions!$B$6*Assumptions!$B$5)*((Assumptions!$B$6*Assumptions!$B$5)+1)/2)*((E$13)^2-($A18)^2)+Assumptions!$B$9/10000*Assumptions!$B$8*Assumptions!$B$4*Assumptions!$B$7-(Assumptions!$B$7-1)*Assumptions!$B$10-Assumptions!$B$11+Assumptions!$B$7*Assumptions!$B$12)+Assumptions!$B$13*(1-Assumptions!$B$14*$A18)</f>
        <v/>
      </c>
      <c r="F18" s="15">
        <f>(Assumptions!$B$7*((Assumptions!$B$6*Assumptions!$B$5)*((Assumptions!$B$6*Assumptions!$B$5)+1)/2)*((F$13)^2-($A18)^2)+Assumptions!$B$9/10000*Assumptions!$B$8*Assumptions!$B$4*Assumptions!$B$7-(Assumptions!$B$7-1)*Assumptions!$B$10-Assumptions!$B$11+Assumptions!$B$7*Assumptions!$B$12)+Assumptions!$B$13*(1-Assumptions!$B$14*$A18)</f>
        <v/>
      </c>
    </row>
    <row r="21">
      <c r="A21" s="12" t="inlineStr">
        <is>
          <t>LP wins where calibration vol &gt; realized vol (calmer than you priced); loses in spikes. m amplifies BOTH (bigger G). Magnitudes illustrative.</t>
        </is>
      </c>
    </row>
  </sheetData>
  <mergeCells count="1">
    <mergeCell ref="A1:F1"/>
  </mergeCells>
  <conditionalFormatting sqref="B5:F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4:F18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48" customWidth="1" min="3" max="3"/>
  </cols>
  <sheetData>
    <row r="1" ht="24" customHeight="1">
      <c r="A1" s="1" t="inlineStr">
        <is>
          <t>SINGLE-SCENARIO BREAKDOWN (edit yellow: RV, sigma_cal)</t>
        </is>
      </c>
    </row>
    <row r="3">
      <c r="A3" s="3" t="inlineStr">
        <is>
          <t>realized_vol RV</t>
        </is>
      </c>
      <c r="B3" s="16" t="n">
        <v>0.6</v>
      </c>
    </row>
    <row r="4">
      <c r="A4" s="3" t="inlineStr">
        <is>
          <t>sigma_cal (calibration vol)</t>
        </is>
      </c>
      <c r="B4" s="16" t="n">
        <v>0.7</v>
      </c>
    </row>
    <row r="6">
      <c r="A6" s="3" t="inlineStr">
        <is>
          <t>G = (m*gamma)(m*gamma+1)/2</t>
        </is>
      </c>
      <c r="B6" s="17">
        <f>((Assumptions!$B$6*Assumptions!$B$5)*((Assumptions!$B$6*Assumptions!$B$5)+1)/2)</f>
        <v/>
      </c>
    </row>
    <row r="7">
      <c r="A7" s="3" t="inlineStr">
        <is>
          <t>options_net (carry - gamma bleed)</t>
        </is>
      </c>
      <c r="B7" s="15">
        <f>Assumptions!$B$7*((Assumptions!$B$6*Assumptions!$B$5)*((Assumptions!$B$6*Assumptions!$B$5)+1)/2)*($B$4^2-$B$3^2)</f>
        <v/>
      </c>
    </row>
    <row r="8">
      <c r="A8" s="3" t="inlineStr">
        <is>
          <t>Fee income</t>
        </is>
      </c>
      <c r="B8" s="15">
        <f>Assumptions!$B$9/10000*Assumptions!$B$8*Assumptions!$B$4*Assumptions!$B$7</f>
        <v/>
      </c>
    </row>
    <row r="9">
      <c r="A9" s="3" t="inlineStr">
        <is>
          <t>Financing</t>
        </is>
      </c>
      <c r="B9" s="15">
        <f>-(Assumptions!$B$7-1)*Assumptions!$B$10</f>
        <v/>
      </c>
    </row>
    <row r="10">
      <c r="A10" s="3" t="inlineStr">
        <is>
          <t>Hedge (fee+funding)</t>
        </is>
      </c>
      <c r="B10" s="15">
        <f>-Assumptions!$B$11+Assumptions!$B$7*Assumptions!$B$12</f>
        <v/>
      </c>
    </row>
    <row r="11">
      <c r="A11" s="3" t="inlineStr">
        <is>
          <t>BASE net (dollar margin)</t>
        </is>
      </c>
      <c r="B11" s="18">
        <f>B7+B8+B9+B10</f>
        <v/>
      </c>
    </row>
    <row r="12">
      <c r="A12" s="3" t="inlineStr">
        <is>
          <t>HLP layer</t>
        </is>
      </c>
      <c r="B12" s="15">
        <f>Assumptions!$B$13*(1-Assumptions!$B$14*$B$3)</f>
        <v/>
      </c>
    </row>
    <row r="13">
      <c r="A13" s="3" t="inlineStr">
        <is>
          <t>RESTAKED net (HLP margin)</t>
        </is>
      </c>
      <c r="B13" s="18">
        <f>B11+B12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2026-07-15T16:53:20Z</dcterms:created>
  <dcterms:modified xsi:type="dcterms:W3CDTF">2026-07-15T17:20:00Z</dcterms:modified>
</cp:coreProperties>
</file>