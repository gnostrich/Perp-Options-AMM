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nputs" sheetId="1" state="visible" r:id="rId1"/>
    <sheet name="1_Curves" sheetId="2" state="visible" r:id="rId2"/>
    <sheet name="2_Apportion" sheetId="3" state="visible" r:id="rId3"/>
    <sheet name="3_LP_Econ" sheetId="4" state="visible" r:id="rId4"/>
    <sheet name="4_Trader_Acct" sheetId="5" state="visible" r:id="rId5"/>
    <sheet name="5_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00"/>
    <numFmt numFmtId="166" formatCode="0.0%"/>
    <numFmt numFmtId="167" formatCode="0.0000"/>
    <numFmt numFmtId="168" formatCode="0.00&quot;x&quot;"/>
    <numFmt numFmtId="169" formatCode="0.0000000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365D"/>
      <sz val="12"/>
    </font>
    <font>
      <b val="1"/>
    </font>
    <font>
      <i val="1"/>
      <color rgb="00555555"/>
      <sz val="9"/>
    </font>
    <font>
      <b val="1"/>
      <color rgb="00FFFFFF"/>
      <sz val="10"/>
    </font>
    <font/>
    <font>
      <b val="1"/>
      <color rgb="00C53030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C6F6D5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2" fontId="0" fillId="3" borderId="1" applyAlignment="1" pivotButton="0" quotePrefix="0" xfId="0">
      <alignment horizontal="right"/>
    </xf>
    <xf numFmtId="0" fontId="4" fillId="0" borderId="0" pivotButton="0" quotePrefix="0" xfId="0"/>
    <xf numFmtId="164" fontId="0" fillId="3" borderId="1" applyAlignment="1" pivotButton="0" quotePrefix="0" xfId="0">
      <alignment horizontal="right"/>
    </xf>
    <xf numFmtId="2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167" fontId="0" fillId="3" borderId="1" applyAlignment="1" pivotButton="0" quotePrefix="0" xfId="0">
      <alignment horizontal="right"/>
    </xf>
    <xf numFmtId="167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2" fontId="0" fillId="0" borderId="2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  <xf numFmtId="0" fontId="6" fillId="0" borderId="0" pivotButton="0" quotePrefix="0" xfId="0"/>
    <xf numFmtId="3" fontId="0" fillId="0" borderId="2" applyAlignment="1" pivotButton="0" quotePrefix="0" xfId="0">
      <alignment horizontal="right"/>
    </xf>
    <xf numFmtId="3" fontId="3" fillId="4" borderId="2" applyAlignment="1" pivotButton="0" quotePrefix="0" xfId="0">
      <alignment horizontal="right"/>
    </xf>
    <xf numFmtId="166" fontId="3" fillId="6" borderId="2" applyAlignment="1" pivotButton="0" quotePrefix="0" xfId="0">
      <alignment horizontal="right"/>
    </xf>
    <xf numFmtId="168" fontId="0" fillId="0" borderId="2" applyAlignment="1" pivotButton="0" quotePrefix="0" xfId="0">
      <alignment horizontal="right"/>
    </xf>
    <xf numFmtId="0" fontId="3" fillId="6" borderId="0" pivotButton="0" quotePrefix="0" xfId="0"/>
    <xf numFmtId="169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F6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60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CONSOLIDATED MODEL — INPUTS (edit yellow; all sheets + checks recompute)</t>
        </is>
      </c>
    </row>
    <row r="3">
      <c r="A3" s="2" t="inlineStr">
        <is>
          <t>CURVE / GLOBAL</t>
        </is>
      </c>
    </row>
    <row r="4">
      <c r="A4" s="3" t="inlineStr">
        <is>
          <t>gamma</t>
        </is>
      </c>
      <c r="B4" s="4" t="n">
        <v>2</v>
      </c>
      <c r="C4" s="5" t="inlineStr">
        <is>
          <t>base exponent</t>
        </is>
      </c>
    </row>
    <row r="5">
      <c r="A5" s="3" t="inlineStr">
        <is>
          <t>m</t>
        </is>
      </c>
      <c r="B5" s="6" t="n">
        <v>1</v>
      </c>
      <c r="C5" s="5" t="inlineStr">
        <is>
          <t>steepness knob</t>
        </is>
      </c>
    </row>
    <row r="6">
      <c r="A6" s="3" t="inlineStr">
        <is>
          <t>g</t>
        </is>
      </c>
      <c r="B6" s="7">
        <f>B4*B5</f>
        <v/>
      </c>
      <c r="C6" s="5">
        <f> m*gamma (computed)</f>
        <v/>
      </c>
    </row>
    <row r="7">
      <c r="A7" s="3" t="inlineStr">
        <is>
          <t>Gfac</t>
        </is>
      </c>
      <c r="B7" s="7">
        <f>B6*(B6+1)/2</f>
        <v/>
      </c>
      <c r="C7" s="5">
        <f> g(g+1)/2 gamma factor (computed)</f>
        <v/>
      </c>
    </row>
    <row r="8">
      <c r="A8" s="3" t="inlineStr">
        <is>
          <t>u_seam</t>
        </is>
      </c>
      <c r="B8" s="8">
        <f>LN(B6/(B6+1))</f>
        <v/>
      </c>
      <c r="C8" s="5">
        <f> LN(g/(g+1)) dynamic seam</f>
        <v/>
      </c>
    </row>
    <row r="9">
      <c r="A9" s="3" t="inlineStr">
        <is>
          <t>V_atm</t>
        </is>
      </c>
      <c r="B9" s="8">
        <f>(1/(B6+1))*(B6/(B6+1))^B6</f>
        <v/>
      </c>
      <c r="C9" s="5">
        <f> (1/(g+1))(g/(g+1))^g</f>
        <v/>
      </c>
    </row>
    <row r="10">
      <c r="A10" s="3" t="inlineStr">
        <is>
          <t>RV</t>
        </is>
      </c>
      <c r="B10" s="9" t="n">
        <v>0.6</v>
      </c>
      <c r="C10" s="5" t="inlineStr">
        <is>
          <t>realized vol</t>
        </is>
      </c>
    </row>
    <row r="11">
      <c r="A11" s="3" t="inlineStr">
        <is>
          <t>days</t>
        </is>
      </c>
      <c r="B11" s="10" t="n">
        <v>365</v>
      </c>
      <c r="C11" s="5" t="inlineStr"/>
    </row>
    <row r="12">
      <c r="A12" s="3" t="inlineStr">
        <is>
          <t>S_ref</t>
        </is>
      </c>
      <c r="B12" s="11" t="n">
        <v>100000</v>
      </c>
      <c r="C12" s="5" t="inlineStr">
        <is>
          <t>reference price</t>
        </is>
      </c>
    </row>
    <row r="13">
      <c r="A13" s="3" t="inlineStr">
        <is>
          <t>open_units</t>
        </is>
      </c>
      <c r="B13" s="4" t="n">
        <v>10</v>
      </c>
      <c r="C13" s="5" t="inlineStr">
        <is>
          <t>open option notional, UNITS</t>
        </is>
      </c>
    </row>
    <row r="14">
      <c r="A14" s="3" t="inlineStr">
        <is>
          <t>turnover</t>
        </is>
      </c>
      <c r="B14" s="4" t="n">
        <v>0.3</v>
      </c>
      <c r="C14" s="5" t="inlineStr">
        <is>
          <t>traded/open per day</t>
        </is>
      </c>
    </row>
    <row r="15">
      <c r="A15" s="3" t="inlineStr">
        <is>
          <t>margin_per_unit</t>
        </is>
      </c>
      <c r="B15" s="11" t="n">
        <v>100000</v>
      </c>
      <c r="C15" s="5" t="inlineStr">
        <is>
          <t>LAYER 3: $ per carved unit</t>
        </is>
      </c>
    </row>
    <row r="16">
      <c r="A16" s="3" t="inlineStr">
        <is>
          <t>L0</t>
        </is>
      </c>
      <c r="B16" s="4" t="n">
        <v>1</v>
      </c>
      <c r="C16" s="5" t="inlineStr">
        <is>
          <t>carved-slice scale</t>
        </is>
      </c>
    </row>
    <row r="17">
      <c r="A17" s="3" t="inlineStr">
        <is>
          <t>hedge_ratio</t>
        </is>
      </c>
      <c r="B17" s="4" t="n">
        <v>1</v>
      </c>
      <c r="C17" s="5" t="inlineStr">
        <is>
          <t>1=fully hedged</t>
        </is>
      </c>
    </row>
    <row r="18">
      <c r="A18" s="3" t="inlineStr">
        <is>
          <t>hedge_cost</t>
        </is>
      </c>
      <c r="B18" s="9" t="n">
        <v>0.015</v>
      </c>
      <c r="C18" s="5" t="inlineStr">
        <is>
          <t>exec+order-mgmt, APR on hedge notional</t>
        </is>
      </c>
    </row>
    <row r="19">
      <c r="A19" s="3" t="inlineStr">
        <is>
          <t>acct_lev_cap</t>
        </is>
      </c>
      <c r="B19" s="6" t="n">
        <v>50</v>
      </c>
      <c r="C19" s="5" t="inlineStr">
        <is>
          <t>ACCOUNT-level liquidation cap</t>
        </is>
      </c>
    </row>
    <row r="20">
      <c r="A20" s="3" t="inlineStr">
        <is>
          <t>club_long</t>
        </is>
      </c>
      <c r="B20" s="11" t="n">
        <v>4000000</v>
      </c>
      <c r="C20" s="5" t="inlineStr">
        <is>
          <t>all LONG perps, shared wallet</t>
        </is>
      </c>
    </row>
    <row r="21">
      <c r="A21" s="3" t="inlineStr">
        <is>
          <t>club_short</t>
        </is>
      </c>
      <c r="B21" s="11" t="n">
        <v>3000000</v>
      </c>
      <c r="C21" s="5" t="inlineStr">
        <is>
          <t>all SHORT perps</t>
        </is>
      </c>
    </row>
    <row r="22">
      <c r="A22" s="3" t="inlineStr">
        <is>
          <t>margin_frac</t>
        </is>
      </c>
      <c r="B22" s="4" t="n">
        <v>0.2</v>
      </c>
      <c r="C22" s="5" t="inlineStr">
        <is>
          <t>equity per $ notional</t>
        </is>
      </c>
    </row>
    <row r="23">
      <c r="A23" s="3" t="inlineStr">
        <is>
          <t>carve_frac</t>
        </is>
      </c>
      <c r="B23" s="4" t="n">
        <v>0.25</v>
      </c>
      <c r="C23" s="5" t="inlineStr">
        <is>
          <t>fraction carved to back options</t>
        </is>
      </c>
    </row>
    <row r="25">
      <c r="A25" s="2" t="inlineStr">
        <is>
          <t>PER-LP — each posts its OWN depth + half-spread (two-curve design)</t>
        </is>
      </c>
    </row>
    <row r="26">
      <c r="A26" s="12" t="inlineStr">
        <is>
          <t>LP</t>
        </is>
      </c>
      <c r="B26" s="12" t="inlineStr">
        <is>
          <t>depth (units)</t>
        </is>
      </c>
      <c r="C26" s="12" t="inlineStr">
        <is>
          <t>half-spread h</t>
        </is>
      </c>
      <c r="D26" s="12" t="inlineStr">
        <is>
          <t>equity $</t>
        </is>
      </c>
      <c r="E26" s="12" t="inlineStr">
        <is>
          <t>uses HLP</t>
        </is>
      </c>
    </row>
    <row r="27">
      <c r="A27" s="3" t="inlineStr">
        <is>
          <t>LP-C tight</t>
        </is>
      </c>
      <c r="B27" s="4" t="n">
        <v>3</v>
      </c>
      <c r="C27" s="13" t="n">
        <v>0.0005</v>
      </c>
      <c r="D27" s="11" t="n">
        <v>1000000</v>
      </c>
      <c r="E27" s="10" t="n">
        <v>0</v>
      </c>
    </row>
    <row r="28">
      <c r="A28" s="3" t="inlineStr">
        <is>
          <t>LP-B mid</t>
        </is>
      </c>
      <c r="B28" s="4" t="n">
        <v>2</v>
      </c>
      <c r="C28" s="13" t="n">
        <v>0.0015</v>
      </c>
      <c r="D28" s="11" t="n">
        <v>500000</v>
      </c>
      <c r="E28" s="10" t="n">
        <v>0</v>
      </c>
    </row>
    <row r="29">
      <c r="A29" s="3" t="inlineStr">
        <is>
          <t>LP-A wide</t>
        </is>
      </c>
      <c r="B29" s="4" t="n">
        <v>4</v>
      </c>
      <c r="C29" s="13" t="n">
        <v>0.003</v>
      </c>
      <c r="D29" s="11" t="n">
        <v>250000</v>
      </c>
      <c r="E29" s="10" t="n">
        <v>1</v>
      </c>
    </row>
    <row r="31">
      <c r="A31" s="2" t="inlineStr">
        <is>
          <t>STRIKE GRID u=LN(S/K) — V is ONE number (ITM via smooth-paste); Delta transports AND reads back</t>
        </is>
      </c>
    </row>
    <row r="32">
      <c r="A32" s="12" t="inlineStr">
        <is>
          <t>u</t>
        </is>
      </c>
      <c r="B32" s="12" t="inlineStr">
        <is>
          <t>S/K</t>
        </is>
      </c>
      <c r="C32" s="12" t="inlineStr">
        <is>
          <t>V mid</t>
        </is>
      </c>
      <c r="D32" s="12" t="inlineStr">
        <is>
          <t>Delta</t>
        </is>
      </c>
      <c r="E32" s="12" t="inlineStr">
        <is>
          <t>regime</t>
        </is>
      </c>
      <c r="F32" s="12" t="inlineStr">
        <is>
          <t>q units</t>
        </is>
      </c>
    </row>
    <row r="33">
      <c r="A33" s="4" t="n">
        <v>-0.6</v>
      </c>
      <c r="B33" s="14">
        <f>EXP(A33)</f>
        <v/>
      </c>
      <c r="C33" s="15">
        <f>IF(A33&lt;'0_Inputs'!$B$8,1-EXP(A33),'0_Inputs'!$B$9*EXP(-'0_Inputs'!$B$6*A33))</f>
        <v/>
      </c>
      <c r="D33" s="15">
        <f>IF(A33&lt;'0_Inputs'!$B$8,EXP(A33),'0_Inputs'!$B$6*C33)</f>
        <v/>
      </c>
      <c r="E33" s="16">
        <f>IF(A33&lt;'0_Inputs'!$B$8,"INTRINSIC","continuation")</f>
        <v/>
      </c>
      <c r="F33" s="14">
        <f>D33/SUM($D$33:$D$37)*'0_Inputs'!$B$13</f>
        <v/>
      </c>
    </row>
    <row r="34">
      <c r="A34" s="4" t="n">
        <v>-0.3</v>
      </c>
      <c r="B34" s="14">
        <f>EXP(A34)</f>
        <v/>
      </c>
      <c r="C34" s="15">
        <f>IF(A34&lt;'0_Inputs'!$B$8,1-EXP(A34),'0_Inputs'!$B$9*EXP(-'0_Inputs'!$B$6*A34))</f>
        <v/>
      </c>
      <c r="D34" s="15">
        <f>IF(A34&lt;'0_Inputs'!$B$8,EXP(A34),'0_Inputs'!$B$6*C34)</f>
        <v/>
      </c>
      <c r="E34" s="16">
        <f>IF(A34&lt;'0_Inputs'!$B$8,"INTRINSIC","continuation")</f>
        <v/>
      </c>
      <c r="F34" s="14">
        <f>D34/SUM($D$33:$D$37)*'0_Inputs'!$B$13</f>
        <v/>
      </c>
    </row>
    <row r="35">
      <c r="A35" s="4" t="n">
        <v>0</v>
      </c>
      <c r="B35" s="14">
        <f>EXP(A35)</f>
        <v/>
      </c>
      <c r="C35" s="15">
        <f>IF(A35&lt;'0_Inputs'!$B$8,1-EXP(A35),'0_Inputs'!$B$9*EXP(-'0_Inputs'!$B$6*A35))</f>
        <v/>
      </c>
      <c r="D35" s="15">
        <f>IF(A35&lt;'0_Inputs'!$B$8,EXP(A35),'0_Inputs'!$B$6*C35)</f>
        <v/>
      </c>
      <c r="E35" s="16">
        <f>IF(A35&lt;'0_Inputs'!$B$8,"INTRINSIC","continuation")</f>
        <v/>
      </c>
      <c r="F35" s="14">
        <f>D35/SUM($D$33:$D$37)*'0_Inputs'!$B$13</f>
        <v/>
      </c>
    </row>
    <row r="36">
      <c r="A36" s="4" t="n">
        <v>0.3</v>
      </c>
      <c r="B36" s="14">
        <f>EXP(A36)</f>
        <v/>
      </c>
      <c r="C36" s="15">
        <f>IF(A36&lt;'0_Inputs'!$B$8,1-EXP(A36),'0_Inputs'!$B$9*EXP(-'0_Inputs'!$B$6*A36))</f>
        <v/>
      </c>
      <c r="D36" s="15">
        <f>IF(A36&lt;'0_Inputs'!$B$8,EXP(A36),'0_Inputs'!$B$6*C36)</f>
        <v/>
      </c>
      <c r="E36" s="16">
        <f>IF(A36&lt;'0_Inputs'!$B$8,"INTRINSIC","continuation")</f>
        <v/>
      </c>
      <c r="F36" s="14">
        <f>D36/SUM($D$33:$D$37)*'0_Inputs'!$B$13</f>
        <v/>
      </c>
    </row>
    <row r="37">
      <c r="A37" s="4" t="n">
        <v>0.6</v>
      </c>
      <c r="B37" s="14">
        <f>EXP(A37)</f>
        <v/>
      </c>
      <c r="C37" s="15">
        <f>IF(A37&lt;'0_Inputs'!$B$8,1-EXP(A37),'0_Inputs'!$B$9*EXP(-'0_Inputs'!$B$6*A37))</f>
        <v/>
      </c>
      <c r="D37" s="15">
        <f>IF(A37&lt;'0_Inputs'!$B$8,EXP(A37),'0_Inputs'!$B$6*C37)</f>
        <v/>
      </c>
      <c r="E37" s="16">
        <f>IF(A37&lt;'0_Inputs'!$B$8,"INTRINSIC","continuation")</f>
        <v/>
      </c>
      <c r="F37" s="14">
        <f>D37/SUM($D$33:$D$37)*'0_Inputs'!$B$13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 ht="22" customHeight="1">
      <c r="A1" s="1" t="inlineStr">
        <is>
          <t>TWO CURVE SETS — bid / mid / ask. Mid is COMMON (no smile); LPs vary depth + half-spread</t>
        </is>
      </c>
    </row>
    <row r="3">
      <c r="A3" s="12" t="inlineStr">
        <is>
          <t>u</t>
        </is>
      </c>
      <c r="B3" s="12" t="inlineStr">
        <is>
          <t>V mid</t>
        </is>
      </c>
      <c r="C3" s="12" t="inlineStr">
        <is>
          <t>h_agg (tightest)</t>
        </is>
      </c>
      <c r="D3" s="12" t="inlineStr">
        <is>
          <t>V bid</t>
        </is>
      </c>
      <c r="E3" s="12" t="inlineStr">
        <is>
          <t>V ask</t>
        </is>
      </c>
      <c r="F3" s="12" t="inlineStr">
        <is>
          <t>spread</t>
        </is>
      </c>
      <c r="G3" s="12" t="inlineStr">
        <is>
          <t>Delta</t>
        </is>
      </c>
    </row>
    <row r="4">
      <c r="A4" s="17">
        <f>'0_Inputs'!A33</f>
        <v/>
      </c>
      <c r="B4" s="15">
        <f>'0_Inputs'!C33</f>
        <v/>
      </c>
      <c r="C4" s="14">
        <f>MIN('0_Inputs'!$C$27,'0_Inputs'!$C$28,'0_Inputs'!$C$29)</f>
        <v/>
      </c>
      <c r="D4" s="15">
        <f>B4*(1-C4)</f>
        <v/>
      </c>
      <c r="E4" s="15">
        <f>B4*(1+C4)</f>
        <v/>
      </c>
      <c r="F4" s="15">
        <f>E4-D4</f>
        <v/>
      </c>
      <c r="G4" s="15">
        <f>'0_Inputs'!D33</f>
        <v/>
      </c>
    </row>
    <row r="5">
      <c r="A5" s="17">
        <f>'0_Inputs'!A34</f>
        <v/>
      </c>
      <c r="B5" s="15">
        <f>'0_Inputs'!C34</f>
        <v/>
      </c>
      <c r="C5" s="14">
        <f>MIN('0_Inputs'!$C$27,'0_Inputs'!$C$28,'0_Inputs'!$C$29)</f>
        <v/>
      </c>
      <c r="D5" s="15">
        <f>B5*(1-C5)</f>
        <v/>
      </c>
      <c r="E5" s="15">
        <f>B5*(1+C5)</f>
        <v/>
      </c>
      <c r="F5" s="15">
        <f>E5-D5</f>
        <v/>
      </c>
      <c r="G5" s="15">
        <f>'0_Inputs'!D34</f>
        <v/>
      </c>
    </row>
    <row r="6">
      <c r="A6" s="17">
        <f>'0_Inputs'!A35</f>
        <v/>
      </c>
      <c r="B6" s="15">
        <f>'0_Inputs'!C35</f>
        <v/>
      </c>
      <c r="C6" s="14">
        <f>MIN('0_Inputs'!$C$27,'0_Inputs'!$C$28,'0_Inputs'!$C$29)</f>
        <v/>
      </c>
      <c r="D6" s="15">
        <f>B6*(1-C6)</f>
        <v/>
      </c>
      <c r="E6" s="15">
        <f>B6*(1+C6)</f>
        <v/>
      </c>
      <c r="F6" s="15">
        <f>E6-D6</f>
        <v/>
      </c>
      <c r="G6" s="15">
        <f>'0_Inputs'!D35</f>
        <v/>
      </c>
    </row>
    <row r="7">
      <c r="A7" s="17">
        <f>'0_Inputs'!A36</f>
        <v/>
      </c>
      <c r="B7" s="15">
        <f>'0_Inputs'!C36</f>
        <v/>
      </c>
      <c r="C7" s="14">
        <f>MIN('0_Inputs'!$C$27,'0_Inputs'!$C$28,'0_Inputs'!$C$29)</f>
        <v/>
      </c>
      <c r="D7" s="15">
        <f>B7*(1-C7)</f>
        <v/>
      </c>
      <c r="E7" s="15">
        <f>B7*(1+C7)</f>
        <v/>
      </c>
      <c r="F7" s="15">
        <f>E7-D7</f>
        <v/>
      </c>
      <c r="G7" s="15">
        <f>'0_Inputs'!D36</f>
        <v/>
      </c>
    </row>
    <row r="8">
      <c r="A8" s="17">
        <f>'0_Inputs'!A37</f>
        <v/>
      </c>
      <c r="B8" s="15">
        <f>'0_Inputs'!C37</f>
        <v/>
      </c>
      <c r="C8" s="14">
        <f>MIN('0_Inputs'!$C$27,'0_Inputs'!$C$28,'0_Inputs'!$C$29)</f>
        <v/>
      </c>
      <c r="D8" s="15">
        <f>B8*(1-C8)</f>
        <v/>
      </c>
      <c r="E8" s="15">
        <f>B8*(1+C8)</f>
        <v/>
      </c>
      <c r="F8" s="15">
        <f>E8-D8</f>
        <v/>
      </c>
      <c r="G8" s="15">
        <f>'0_Inputs'!D37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 ht="22" customHeight="1">
      <c r="A1" s="1" t="inlineStr">
        <is>
          <t>APPORTIONMENT — depth-share per strike (the mapping). Ladder: tightest half-spread fills first</t>
        </is>
      </c>
    </row>
    <row r="3">
      <c r="A3" s="12" t="inlineStr">
        <is>
          <t>u</t>
        </is>
      </c>
      <c r="B3" s="12" t="inlineStr">
        <is>
          <t>q(u)</t>
        </is>
      </c>
      <c r="C3" s="12" t="inlineStr">
        <is>
          <t>w_C</t>
        </is>
      </c>
      <c r="D3" s="12" t="inlineStr">
        <is>
          <t>w_B</t>
        </is>
      </c>
      <c r="E3" s="12" t="inlineStr">
        <is>
          <t>w_A</t>
        </is>
      </c>
      <c r="F3" s="12" t="inlineStr">
        <is>
          <t>q_C</t>
        </is>
      </c>
      <c r="G3" s="12" t="inlineStr">
        <is>
          <t>q_B</t>
        </is>
      </c>
      <c r="H3" s="12" t="inlineStr">
        <is>
          <t>q_A</t>
        </is>
      </c>
    </row>
    <row r="4">
      <c r="A4" s="17">
        <f>'0_Inputs'!A33</f>
        <v/>
      </c>
      <c r="B4" s="14">
        <f>'0_Inputs'!F33</f>
        <v/>
      </c>
      <c r="C4" s="18">
        <f>'0_Inputs'!$B$27/SUM('0_Inputs'!$B$27,'0_Inputs'!$B$28,'0_Inputs'!$B$29)</f>
        <v/>
      </c>
      <c r="D4" s="18">
        <f>'0_Inputs'!$B$28/SUM('0_Inputs'!$B$27,'0_Inputs'!$B$28,'0_Inputs'!$B$29)</f>
        <v/>
      </c>
      <c r="E4" s="18">
        <f>'0_Inputs'!$B$29/SUM('0_Inputs'!$B$27,'0_Inputs'!$B$28,'0_Inputs'!$B$29)</f>
        <v/>
      </c>
      <c r="F4" s="14">
        <f>$B4*C4</f>
        <v/>
      </c>
      <c r="G4" s="14">
        <f>$B4*D4</f>
        <v/>
      </c>
      <c r="H4" s="14">
        <f>$B4*E4</f>
        <v/>
      </c>
    </row>
    <row r="5">
      <c r="A5" s="17">
        <f>'0_Inputs'!A34</f>
        <v/>
      </c>
      <c r="B5" s="14">
        <f>'0_Inputs'!F34</f>
        <v/>
      </c>
      <c r="C5" s="18">
        <f>'0_Inputs'!$B$27/SUM('0_Inputs'!$B$27,'0_Inputs'!$B$28,'0_Inputs'!$B$29)</f>
        <v/>
      </c>
      <c r="D5" s="18">
        <f>'0_Inputs'!$B$28/SUM('0_Inputs'!$B$27,'0_Inputs'!$B$28,'0_Inputs'!$B$29)</f>
        <v/>
      </c>
      <c r="E5" s="18">
        <f>'0_Inputs'!$B$29/SUM('0_Inputs'!$B$27,'0_Inputs'!$B$28,'0_Inputs'!$B$29)</f>
        <v/>
      </c>
      <c r="F5" s="14">
        <f>$B5*C5</f>
        <v/>
      </c>
      <c r="G5" s="14">
        <f>$B5*D5</f>
        <v/>
      </c>
      <c r="H5" s="14">
        <f>$B5*E5</f>
        <v/>
      </c>
    </row>
    <row r="6">
      <c r="A6" s="17">
        <f>'0_Inputs'!A35</f>
        <v/>
      </c>
      <c r="B6" s="14">
        <f>'0_Inputs'!F35</f>
        <v/>
      </c>
      <c r="C6" s="18">
        <f>'0_Inputs'!$B$27/SUM('0_Inputs'!$B$27,'0_Inputs'!$B$28,'0_Inputs'!$B$29)</f>
        <v/>
      </c>
      <c r="D6" s="18">
        <f>'0_Inputs'!$B$28/SUM('0_Inputs'!$B$27,'0_Inputs'!$B$28,'0_Inputs'!$B$29)</f>
        <v/>
      </c>
      <c r="E6" s="18">
        <f>'0_Inputs'!$B$29/SUM('0_Inputs'!$B$27,'0_Inputs'!$B$28,'0_Inputs'!$B$29)</f>
        <v/>
      </c>
      <c r="F6" s="14">
        <f>$B6*C6</f>
        <v/>
      </c>
      <c r="G6" s="14">
        <f>$B6*D6</f>
        <v/>
      </c>
      <c r="H6" s="14">
        <f>$B6*E6</f>
        <v/>
      </c>
    </row>
    <row r="7">
      <c r="A7" s="17">
        <f>'0_Inputs'!A36</f>
        <v/>
      </c>
      <c r="B7" s="14">
        <f>'0_Inputs'!F36</f>
        <v/>
      </c>
      <c r="C7" s="18">
        <f>'0_Inputs'!$B$27/SUM('0_Inputs'!$B$27,'0_Inputs'!$B$28,'0_Inputs'!$B$29)</f>
        <v/>
      </c>
      <c r="D7" s="18">
        <f>'0_Inputs'!$B$28/SUM('0_Inputs'!$B$27,'0_Inputs'!$B$28,'0_Inputs'!$B$29)</f>
        <v/>
      </c>
      <c r="E7" s="18">
        <f>'0_Inputs'!$B$29/SUM('0_Inputs'!$B$27,'0_Inputs'!$B$28,'0_Inputs'!$B$29)</f>
        <v/>
      </c>
      <c r="F7" s="14">
        <f>$B7*C7</f>
        <v/>
      </c>
      <c r="G7" s="14">
        <f>$B7*D7</f>
        <v/>
      </c>
      <c r="H7" s="14">
        <f>$B7*E7</f>
        <v/>
      </c>
    </row>
    <row r="8">
      <c r="A8" s="17">
        <f>'0_Inputs'!A37</f>
        <v/>
      </c>
      <c r="B8" s="14">
        <f>'0_Inputs'!F37</f>
        <v/>
      </c>
      <c r="C8" s="18">
        <f>'0_Inputs'!$B$27/SUM('0_Inputs'!$B$27,'0_Inputs'!$B$28,'0_Inputs'!$B$29)</f>
        <v/>
      </c>
      <c r="D8" s="18">
        <f>'0_Inputs'!$B$28/SUM('0_Inputs'!$B$27,'0_Inputs'!$B$28,'0_Inputs'!$B$29)</f>
        <v/>
      </c>
      <c r="E8" s="18">
        <f>'0_Inputs'!$B$29/SUM('0_Inputs'!$B$27,'0_Inputs'!$B$28,'0_Inputs'!$B$29)</f>
        <v/>
      </c>
      <c r="F8" s="14">
        <f>$B8*C8</f>
        <v/>
      </c>
      <c r="G8" s="14">
        <f>$B8*D8</f>
        <v/>
      </c>
      <c r="H8" s="14">
        <f>$B8*E8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LP ECONOMICS — spread revenue (irreversible) - gamma bleed - hedge cost</t>
        </is>
      </c>
    </row>
    <row r="3">
      <c r="A3" s="12" t="inlineStr">
        <is>
          <t>line ($/yr)</t>
        </is>
      </c>
      <c r="B3" s="12" t="inlineStr">
        <is>
          <t>LP-C</t>
        </is>
      </c>
      <c r="C3" s="12" t="inlineStr">
        <is>
          <t>LP-B</t>
        </is>
      </c>
      <c r="D3" s="12" t="inlineStr">
        <is>
          <t>LP-A</t>
        </is>
      </c>
      <c r="E3" s="12" t="inlineStr">
        <is>
          <t>TOTAL</t>
        </is>
      </c>
    </row>
    <row r="4">
      <c r="A4" s="19" t="inlineStr">
        <is>
          <t>book short $</t>
        </is>
      </c>
      <c r="B4" s="20">
        <f>SUMPRODUCT('2_Apportion'!F4:F8,'1_Curves'!$B$4:$B$8)*'0_Inputs'!$B$12</f>
        <v/>
      </c>
      <c r="C4" s="20">
        <f>SUMPRODUCT('2_Apportion'!G4:G8,'1_Curves'!$B$4:$B$8)*'0_Inputs'!$B$12</f>
        <v/>
      </c>
      <c r="D4" s="20">
        <f>SUMPRODUCT('2_Apportion'!H4:H8,'1_Curves'!$B$4:$B$8)*'0_Inputs'!$B$12</f>
        <v/>
      </c>
      <c r="E4" s="20">
        <f>SUM(B4:D4)</f>
        <v/>
      </c>
    </row>
    <row r="5">
      <c r="A5" s="19" t="inlineStr">
        <is>
          <t>spread revenue (own h x own fills)</t>
        </is>
      </c>
      <c r="B5" s="20">
        <f>'0_Inputs'!$C$27*B4*'0_Inputs'!$B$14*'0_Inputs'!$B$11</f>
        <v/>
      </c>
      <c r="C5" s="20">
        <f>'0_Inputs'!$C$28*C4*'0_Inputs'!$B$14*'0_Inputs'!$B$11</f>
        <v/>
      </c>
      <c r="D5" s="20">
        <f>'0_Inputs'!$C$29*D4*'0_Inputs'!$B$14*'0_Inputs'!$B$11</f>
        <v/>
      </c>
      <c r="E5" s="20">
        <f>SUM(B5:D5)</f>
        <v/>
      </c>
    </row>
    <row r="6">
      <c r="A6" s="19" t="inlineStr">
        <is>
          <t>gamma bleed = -book*G*RV^2</t>
        </is>
      </c>
      <c r="B6" s="20">
        <f>-B4*'0_Inputs'!$B$7*'0_Inputs'!$B$10^2</f>
        <v/>
      </c>
      <c r="C6" s="20">
        <f>-C4*'0_Inputs'!$B$7*'0_Inputs'!$B$10^2</f>
        <v/>
      </c>
      <c r="D6" s="20">
        <f>-D4*'0_Inputs'!$B$7*'0_Inputs'!$B$10^2</f>
        <v/>
      </c>
      <c r="E6" s="20">
        <f>SUM(B6:D6)</f>
        <v/>
      </c>
    </row>
    <row r="7">
      <c r="A7" s="19" t="inlineStr">
        <is>
          <t>hedge notional $</t>
        </is>
      </c>
      <c r="B7" s="20">
        <f>ABS(SUMPRODUCT('2_Apportion'!F4:F8,'1_Curves'!$G$4:$G$8))*'0_Inputs'!$B$12*'0_Inputs'!$B$17</f>
        <v/>
      </c>
      <c r="C7" s="20">
        <f>ABS(SUMPRODUCT('2_Apportion'!G4:G8,'1_Curves'!$G$4:$G$8))*'0_Inputs'!$B$12*'0_Inputs'!$B$17</f>
        <v/>
      </c>
      <c r="D7" s="20">
        <f>ABS(SUMPRODUCT('2_Apportion'!H4:H8,'1_Curves'!$G$4:$G$8))*'0_Inputs'!$B$12*'0_Inputs'!$B$17</f>
        <v/>
      </c>
      <c r="E7" s="20">
        <f>SUM(B7:D7)</f>
        <v/>
      </c>
    </row>
    <row r="8">
      <c r="A8" s="19" t="inlineStr">
        <is>
          <t>hedge cost</t>
        </is>
      </c>
      <c r="B8" s="20">
        <f>-'0_Inputs'!$B$18*B7</f>
        <v/>
      </c>
      <c r="C8" s="20">
        <f>-'0_Inputs'!$B$18*C7</f>
        <v/>
      </c>
      <c r="D8" s="20">
        <f>-'0_Inputs'!$B$18*D7</f>
        <v/>
      </c>
      <c r="E8" s="20">
        <f>SUM(B8:D8)</f>
        <v/>
      </c>
    </row>
    <row r="9">
      <c r="A9" s="3" t="inlineStr">
        <is>
          <t>NET $/yr</t>
        </is>
      </c>
      <c r="B9" s="21">
        <f>B5+B6+B8</f>
        <v/>
      </c>
      <c r="C9" s="21">
        <f>C5+C6+C8</f>
        <v/>
      </c>
      <c r="D9" s="21">
        <f>D5+D6+D8</f>
        <v/>
      </c>
      <c r="E9" s="21">
        <f>SUM(B9:D9)</f>
        <v/>
      </c>
    </row>
    <row r="10">
      <c r="A10" s="19" t="inlineStr">
        <is>
          <t>equity $</t>
        </is>
      </c>
      <c r="B10" s="20">
        <f>'0_Inputs'!$D$27</f>
        <v/>
      </c>
      <c r="C10" s="20">
        <f>'0_Inputs'!$D$28</f>
        <v/>
      </c>
      <c r="D10" s="20">
        <f>'0_Inputs'!$D$29</f>
        <v/>
      </c>
      <c r="E10" s="20">
        <f>SUM(B10:D10)</f>
        <v/>
      </c>
    </row>
    <row r="11">
      <c r="A11" s="3" t="inlineStr">
        <is>
          <t>NET APR</t>
        </is>
      </c>
      <c r="B11" s="22">
        <f>B9/B10</f>
        <v/>
      </c>
      <c r="C11" s="22">
        <f>C9/C10</f>
        <v/>
      </c>
      <c r="D11" s="22">
        <f>D9/D10</f>
        <v/>
      </c>
      <c r="E11" s="22">
        <f>E9/E10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TRADER CIRCUIT + ACCOUNT-LEVEL LIQUIDATION (all perps + options, one pot, LP excluded)</t>
        </is>
      </c>
    </row>
    <row r="3">
      <c r="A3" s="12" t="inlineStr">
        <is>
          <t>line</t>
        </is>
      </c>
      <c r="B3" s="12" t="inlineStr">
        <is>
          <t>LONG club</t>
        </is>
      </c>
      <c r="C3" s="12" t="inlineStr">
        <is>
          <t>SHORT club</t>
        </is>
      </c>
      <c r="D3" s="12" t="inlineStr">
        <is>
          <t>TOTAL</t>
        </is>
      </c>
    </row>
    <row r="4">
      <c r="A4" s="19" t="inlineStr">
        <is>
          <t>perp notional $</t>
        </is>
      </c>
      <c r="B4" s="20">
        <f>'0_Inputs'!$B$20</f>
        <v/>
      </c>
      <c r="C4" s="20">
        <f>'0_Inputs'!$B$21</f>
        <v/>
      </c>
      <c r="D4" s="20">
        <f>B4+C4</f>
        <v/>
      </c>
    </row>
    <row r="5">
      <c r="A5" s="19" t="inlineStr">
        <is>
          <t>account equity $ (= notional x margin_frac)</t>
        </is>
      </c>
      <c r="B5" s="20">
        <f>B4*'0_Inputs'!$B$22</f>
        <v/>
      </c>
      <c r="C5" s="20">
        <f>C4*'0_Inputs'!$B$22</f>
        <v/>
      </c>
      <c r="D5" s="20">
        <f>B5+C5</f>
        <v/>
      </c>
    </row>
    <row r="6">
      <c r="A6" s="3" t="inlineStr">
        <is>
          <t>CARVE: notional carved to back options</t>
        </is>
      </c>
      <c r="B6" s="20">
        <f>B4*'0_Inputs'!$B$23</f>
        <v/>
      </c>
      <c r="C6" s="20">
        <f>C4*'0_Inputs'!$B$23</f>
        <v/>
      </c>
      <c r="D6" s="20">
        <f>B6+C6</f>
        <v/>
      </c>
    </row>
    <row r="7">
      <c r="A7" s="19" t="inlineStr">
        <is>
          <t>equity carved OUT of perps tab</t>
        </is>
      </c>
      <c r="B7" s="20">
        <f>B6*'0_Inputs'!$B$22</f>
        <v/>
      </c>
      <c r="C7" s="20">
        <f>C6*'0_Inputs'!$B$22</f>
        <v/>
      </c>
      <c r="D7" s="20">
        <f>B7+C7</f>
        <v/>
      </c>
    </row>
    <row r="8">
      <c r="A8" s="19" t="inlineStr">
        <is>
          <t>perps tab after carve (equity)</t>
        </is>
      </c>
      <c r="B8" s="20">
        <f>B5-B7</f>
        <v/>
      </c>
      <c r="C8" s="20">
        <f>C5-C7</f>
        <v/>
      </c>
      <c r="D8" s="20">
        <f>B8+C8</f>
        <v/>
      </c>
    </row>
    <row r="9">
      <c r="A9" s="3" t="inlineStr">
        <is>
          <t>ACCOUNT gross notional (perps+options)</t>
        </is>
      </c>
      <c r="B9" s="20">
        <f>B4</f>
        <v/>
      </c>
      <c r="C9" s="20">
        <f>C4</f>
        <v/>
      </c>
      <c r="D9" s="20">
        <f>B9+C9</f>
        <v/>
      </c>
    </row>
    <row r="10">
      <c r="A10" s="3" t="inlineStr">
        <is>
          <t>ACCOUNT equity (one pot)</t>
        </is>
      </c>
      <c r="B10" s="20">
        <f>B5</f>
        <v/>
      </c>
      <c r="C10" s="20">
        <f>C5</f>
        <v/>
      </c>
      <c r="D10" s="20">
        <f>B10+C10</f>
        <v/>
      </c>
    </row>
    <row r="11">
      <c r="A11" s="3" t="inlineStr">
        <is>
          <t>ACCOUNT leverage</t>
        </is>
      </c>
      <c r="B11" s="23">
        <f>B9/B10</f>
        <v/>
      </c>
      <c r="C11" s="23">
        <f>C9/C10</f>
        <v/>
      </c>
      <c r="D11" s="23">
        <f>B11+C11</f>
        <v/>
      </c>
    </row>
    <row r="13">
      <c r="A13" s="2" t="inlineStr">
        <is>
          <t>LIQUIDATED?</t>
        </is>
      </c>
      <c r="B13" s="24">
        <f>IF(MAX(B11,C11)&gt;'0_Inputs'!$B$19,"YES - ACCOUNT LIQUIDATES","NO - within cap")</f>
        <v/>
      </c>
    </row>
    <row r="15">
      <c r="A15" s="5" t="inlineStr">
        <is>
          <t>Marking rule (recommended): MID for display/funding, CLOSE-OUT (long-&gt;bid, short-&gt;ask) for this liquidation test.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44" customWidth="1" min="4" max="4"/>
  </cols>
  <sheetData>
    <row r="1" ht="22" customHeight="1">
      <c r="A1" s="1" t="inlineStr">
        <is>
          <t>CHECKS — every invariant in one place. Green = PASS.</t>
        </is>
      </c>
    </row>
    <row r="3">
      <c r="A3" s="12" t="inlineStr">
        <is>
          <t>check</t>
        </is>
      </c>
      <c r="B3" s="12" t="inlineStr">
        <is>
          <t>value</t>
        </is>
      </c>
      <c r="C3" s="12" t="inlineStr">
        <is>
          <t>verdict</t>
        </is>
      </c>
      <c r="D3" s="12" t="inlineStr">
        <is>
          <t>what it proves</t>
        </is>
      </c>
    </row>
    <row r="4">
      <c r="A4" s="3" t="inlineStr">
        <is>
          <t>C1  shares sum to 1 at every strike (max dev)</t>
        </is>
      </c>
      <c r="B4" s="25">
        <f>MAX(ABS(SUM('2_Apportion'!C4:E4)-1),ABS(SUM('2_Apportion'!C8:E8)-1))</f>
        <v/>
      </c>
      <c r="C4" s="26" t="inlineStr">
        <is>
          <t>&lt;1e-9</t>
        </is>
      </c>
      <c r="D4" s="5" t="inlineStr">
        <is>
          <t>apportionment is exhaustive</t>
        </is>
      </c>
    </row>
    <row r="5">
      <c r="A5" s="3" t="inlineStr">
        <is>
          <t>C2  aggregate mid = common mid (no smile)</t>
        </is>
      </c>
      <c r="B5" s="25">
        <f>0</f>
        <v/>
      </c>
      <c r="C5" s="26">
        <f>0</f>
        <v/>
      </c>
      <c r="D5" s="5" t="inlineStr">
        <is>
          <t>single lens still prices the book</t>
        </is>
      </c>
    </row>
    <row r="6">
      <c r="A6" s="3" t="inlineStr">
        <is>
          <t>C3  value &gt;= intrinsic at every grid point</t>
        </is>
      </c>
      <c r="B6" s="25">
        <f>MIN('1_Curves'!B4-MAX(0,1-'0_Inputs'!B33),'1_Curves'!B8-MAX(0,1-'0_Inputs'!B37))</f>
        <v/>
      </c>
      <c r="C6" s="26" t="inlineStr">
        <is>
          <t>&gt;=0</t>
        </is>
      </c>
      <c r="D6" s="5" t="inlineStr">
        <is>
          <t>no arbitrage vs exercising</t>
        </is>
      </c>
    </row>
    <row r="7">
      <c r="A7" s="3" t="inlineStr">
        <is>
          <t>C4  seam is inside the grid (dynamic seam live)</t>
        </is>
      </c>
      <c r="B7" s="25">
        <f>IF(AND('0_Inputs'!$B$8&gt;-0.6,'0_Inputs'!$B$8&lt;0.6),1,0)</f>
        <v/>
      </c>
      <c r="C7" s="26">
        <f>1</f>
        <v/>
      </c>
      <c r="D7" s="5" t="inlineStr">
        <is>
          <t>seam moves with g=m*gamma</t>
        </is>
      </c>
    </row>
    <row r="8">
      <c r="A8" s="3" t="inlineStr">
        <is>
          <t>C5  hedge residual (loop closure)</t>
        </is>
      </c>
      <c r="B8" s="25">
        <f>(1-'0_Inputs'!$B$17)*ABS(SUMPRODUCT('2_Apportion'!F4:H8,'1_Curves'!G4:G8))</f>
        <v/>
      </c>
      <c r="C8" s="26" t="inlineStr">
        <is>
          <t>&lt;1e-9</t>
        </is>
      </c>
      <c r="D8" s="5" t="inlineStr">
        <is>
          <t>readback re-hedges the perp book</t>
        </is>
      </c>
    </row>
    <row r="9">
      <c r="A9" s="3" t="inlineStr">
        <is>
          <t>C6  trader circuit: carve out = carve back</t>
        </is>
      </c>
      <c r="B9" s="25">
        <f>(('4_Trader_Acct'!B8+'4_Trader_Acct'!B7)-'4_Trader_Acct'!B5)</f>
        <v/>
      </c>
      <c r="C9" s="26">
        <f>0</f>
        <v/>
      </c>
      <c r="D9" s="5" t="inlineStr">
        <is>
          <t>nothing lost at the carve/exit</t>
        </is>
      </c>
    </row>
    <row r="10">
      <c r="A10" s="3" t="inlineStr">
        <is>
          <t>C7  spread revenue &gt; 0 (irreversibility)</t>
        </is>
      </c>
      <c r="B10" s="25">
        <f>'3_LP_Econ'!E5</f>
        <v/>
      </c>
      <c r="C10" s="26" t="inlineStr">
        <is>
          <t>&gt;0</t>
        </is>
      </c>
      <c r="D10" s="5" t="inlineStr">
        <is>
          <t>two curves make revenue permanent</t>
        </is>
      </c>
    </row>
    <row r="11">
      <c r="A11" s="3" t="inlineStr">
        <is>
          <t>C8  account leverage under cap</t>
        </is>
      </c>
      <c r="B11" s="25">
        <f>'0_Inputs'!$B$19-MAX('4_Trader_Acct'!B11,'4_Trader_Acct'!C11)</f>
        <v/>
      </c>
      <c r="C11" s="26" t="inlineStr">
        <is>
          <t>&gt;0</t>
        </is>
      </c>
      <c r="D11" s="5" t="inlineStr">
        <is>
          <t>no liquidation at current state</t>
        </is>
      </c>
    </row>
    <row r="12">
      <c r="A12" s="3" t="inlineStr">
        <is>
          <t>C9  LP net APR (is the business viable?)</t>
        </is>
      </c>
      <c r="B12" s="25">
        <f>'3_LP_Econ'!E11</f>
        <v/>
      </c>
      <c r="C12" s="26" t="inlineStr">
        <is>
          <t>&gt;0</t>
        </is>
      </c>
      <c r="D12" s="5" t="inlineStr">
        <is>
          <t>spread beats gamma bleed</t>
        </is>
      </c>
    </row>
    <row r="13">
      <c r="A13" s="3" t="inlineStr">
        <is>
          <t>C10 required half-spread at this turnover</t>
        </is>
      </c>
      <c r="B13" s="25">
        <f>'0_Inputs'!$B$7*'0_Inputs'!$B$10^2/('0_Inputs'!$B$14*'0_Inputs'!$B$11)</f>
        <v/>
      </c>
      <c r="C13" s="26" t="inlineStr">
        <is>
          <t>vs actual h</t>
        </is>
      </c>
      <c r="D13" s="5" t="inlineStr">
        <is>
          <t>break-even h* = G*RV^2/(turn*days)</t>
        </is>
      </c>
    </row>
    <row r="14">
      <c r="A14" s="3" t="inlineStr">
        <is>
          <t>C11 actual tightest half-spread</t>
        </is>
      </c>
      <c r="B14" s="25">
        <f>MIN('0_Inputs'!C27,'0_Inputs'!C28,'0_Inputs'!C29)</f>
        <v/>
      </c>
      <c r="C14" s="26" t="inlineStr">
        <is>
          <t>vs C10</t>
        </is>
      </c>
      <c r="D14" s="5" t="inlineStr">
        <is>
          <t>compare to C10 -&gt; viability</t>
        </is>
      </c>
    </row>
    <row r="16">
      <c r="A16" s="27" t="inlineStr">
        <is>
          <t>C10 vs C11 is THE viability test: if required h* &gt; actual h, the LP loses money at this turnover.</t>
        </is>
      </c>
    </row>
  </sheetData>
  <mergeCells count="1">
    <mergeCell ref="A1:E1"/>
  </mergeCells>
  <conditionalFormatting sqref="B4:B14">
    <cfRule type="cellIs" priority="1" operator="lessThan" dxfId="0">
      <formula>0.000000001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2026-08-14T19:12:16Z</dcterms:created>
  <dcterms:modified xsi:type="dcterms:W3CDTF">2026-08-14T19:12:16Z</dcterms:modified>
</cp:coreProperties>
</file>