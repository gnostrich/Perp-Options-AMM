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Assumptions" sheetId="2" state="visible" r:id="rId2"/>
    <sheet name="Regime_Grid" sheetId="3" state="visible" r:id="rId3"/>
    <sheet name="Scenario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4"/>
    </font>
    <font/>
    <font>
      <b val="1"/>
    </font>
    <font>
      <b val="1"/>
      <color rgb="00FFFFFF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FFF3CD"/>
      </patternFill>
    </fill>
    <fill>
      <patternFill patternType="solid">
        <fgColor rgb="00EDF2F7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" fontId="0" fillId="3" borderId="1" pivotButton="0" quotePrefix="0" xfId="0"/>
    <xf numFmtId="0" fontId="5" fillId="0" borderId="0" pivotButton="0" quotePrefix="0" xfId="0"/>
    <xf numFmtId="164" fontId="0" fillId="3" borderId="1" pivotButton="0" quotePrefix="0" xfId="0"/>
    <xf numFmtId="165" fontId="0" fillId="3" borderId="1" pivotButton="0" quotePrefix="0" xfId="0"/>
    <xf numFmtId="2" fontId="0" fillId="3" borderId="1" pivotButton="0" quotePrefix="0" xfId="0"/>
    <xf numFmtId="2" fontId="3" fillId="4" borderId="0" pivotButton="0" quotePrefix="0" xfId="0"/>
    <xf numFmtId="165" fontId="3" fillId="4" borderId="0" pivotButton="0" quotePrefix="0" xfId="0"/>
    <xf numFmtId="165" fontId="0" fillId="0" borderId="1" pivotButton="0" quotePrefix="0" xfId="0"/>
    <xf numFmtId="165" fontId="0" fillId="5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F6D5"/>
        </patternFill>
      </fill>
    </dxf>
    <dxf>
      <fill>
        <patternFill patternType="solid">
          <f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Temporal LP economics — editable model (v1, BRAINSTORM / non-core)</t>
        </is>
      </c>
    </row>
    <row r="2">
      <c r="A2" s="2" t="inlineStr"/>
    </row>
    <row r="3">
      <c r="A3" s="2" t="inlineStr">
        <is>
          <t>Purpose: does a Temporal LP make money, and under what conditions? For a given trading volume</t>
        </is>
      </c>
    </row>
    <row r="4">
      <c r="A4" s="2" t="inlineStr">
        <is>
          <t>(per $ of pool notional) and volatility, what yearly return does the LP earn — base vs HLP-restaked.</t>
        </is>
      </c>
    </row>
    <row r="5">
      <c r="A5" s="2" t="inlineStr"/>
    </row>
    <row r="6">
      <c r="A6" s="3" t="inlineStr">
        <is>
          <t>HOW TO USE: edit the YELLOW cells on 'Assumptions'. Everything recomputes. Open in Excel / Google Sheets / LibreOffice.</t>
        </is>
      </c>
    </row>
    <row r="7">
      <c r="A7" s="2" t="inlineStr"/>
    </row>
    <row r="8">
      <c r="A8" s="3" t="inlineStr">
        <is>
          <t>THE MODEL (disclosed, per $ notional, annualized):</t>
        </is>
      </c>
    </row>
    <row r="9">
      <c r="A9" s="2" t="inlineStr">
        <is>
          <t xml:space="preserve">  Fee income   = fee_bps/10000 x daily_turnover x days_per_year</t>
        </is>
      </c>
    </row>
    <row r="10">
      <c r="A10" s="2" t="inlineStr">
        <is>
          <t xml:space="preserve">  Funding      = funding_APR   [PLACEHOLDER for the update-2 funding formula — edit freely]</t>
        </is>
      </c>
    </row>
    <row r="11">
      <c r="A11" s="2" t="inlineStr">
        <is>
          <t xml:space="preserve">  LVR cost     = (sigma^2/8) x (1 - protection_factor)   [sigma^2/8 = classic 50/50 CPMM LVR]</t>
        </is>
      </c>
    </row>
    <row r="12">
      <c r="A12" s="2" t="inlineStr">
        <is>
          <t xml:space="preserve">  Drain cost   = drain_coeff x daily_turnover            [small IL-like open-&gt;close pool drift]</t>
        </is>
      </c>
    </row>
    <row r="13">
      <c r="A13" s="3" t="inlineStr">
        <is>
          <t xml:space="preserve">  BASE net APR = Fee + Funding - LVR - Drain</t>
        </is>
      </c>
    </row>
    <row r="14">
      <c r="A14" s="3" t="inlineStr">
        <is>
          <t xml:space="preserve">  RESTAKED     = Base + HLP_base_APR x (1 - HLP_tail_haircut x sigma)   [HLP-margin additive layer]</t>
        </is>
      </c>
    </row>
    <row r="15">
      <c r="A15" s="2" t="inlineStr"/>
    </row>
    <row r="16">
      <c r="A16" s="3" t="inlineStr">
        <is>
          <t>HONESTY LABELS:</t>
        </is>
      </c>
    </row>
    <row r="17">
      <c r="A17" s="2" t="inlineStr">
        <is>
          <t xml:space="preserve">  - funding_APR is a STAND-IN; the real funding rate law is update-2 (undecided).</t>
        </is>
      </c>
    </row>
    <row r="18">
      <c r="A18" s="2" t="inlineStr">
        <is>
          <t xml:space="preserve">  - protection_factor is a HYPOTHESIS knob (warp+funding tether reducing LVR); not yet proven.</t>
        </is>
      </c>
    </row>
    <row r="19">
      <c r="A19" s="2" t="inlineStr">
        <is>
          <t xml:space="preserve">  - HLP_tail_haircut&gt;0 models HLP &amp; Temporal losing together in crashes (pure-additive=0 overstates yield).</t>
        </is>
      </c>
    </row>
    <row r="20">
      <c r="A20" s="2" t="inlineStr">
        <is>
          <t xml:space="preserve">  - LVR=sigma^2/8 is the CPMM baseline; Temporal is warped, so protection_factor absorbs the difference.</t>
        </is>
      </c>
    </row>
    <row r="21">
      <c r="A21" s="2" t="inlineStr">
        <is>
          <t xml:space="preserve">  - Reduced-form sketch for intuition, NOT a validated backtest. Lives in sims/ (non-core).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6" customWidth="1" min="3" max="3"/>
  </cols>
  <sheetData>
    <row r="1">
      <c r="A1" s="1" t="inlineStr">
        <is>
          <t>EDITABLE ASSUMPTIONS</t>
        </is>
      </c>
    </row>
    <row r="3">
      <c r="A3" s="4" t="inlineStr">
        <is>
          <t>Assumption</t>
        </is>
      </c>
      <c r="B3" s="4" t="inlineStr">
        <is>
          <t>Value</t>
        </is>
      </c>
      <c r="C3" s="4" t="inlineStr">
        <is>
          <t>Disclosure / note (edit the yellow Value cells)</t>
        </is>
      </c>
    </row>
    <row r="4">
      <c r="A4" s="3" t="inlineStr">
        <is>
          <t>days_per_year</t>
        </is>
      </c>
      <c r="B4" s="5" t="n">
        <v>365</v>
      </c>
      <c r="C4" s="6" t="inlineStr">
        <is>
          <t>trading days/year to annualize</t>
        </is>
      </c>
    </row>
    <row r="5">
      <c r="A5" s="3" t="inlineStr">
        <is>
          <t>fee_bps</t>
        </is>
      </c>
      <c r="B5" s="7" t="n">
        <v>5</v>
      </c>
      <c r="C5" s="6" t="inlineStr">
        <is>
          <t>taker fee, bps of notional traded. Set 0 if Temporal charges no fee (TBD).</t>
        </is>
      </c>
    </row>
    <row r="6">
      <c r="A6" s="3" t="inlineStr">
        <is>
          <t>funding_APR</t>
        </is>
      </c>
      <c r="B6" s="8" t="n">
        <v>0.03</v>
      </c>
      <c r="C6" s="6" t="inlineStr">
        <is>
          <t>NET funding income to the LP per year (PLACEHOLDER for update-2 formula). The main edge vs a vanilla AMM.</t>
        </is>
      </c>
    </row>
    <row r="7">
      <c r="A7" s="3" t="inlineStr">
        <is>
          <t>protection_factor</t>
        </is>
      </c>
      <c r="B7" s="9" t="n">
        <v>0.5</v>
      </c>
      <c r="C7" s="6" t="inlineStr">
        <is>
          <t>fraction of LVR removed by warp+funding tether. 0=pure CPMM loss, 1=LVR gone. HYPOTHESIS.</t>
        </is>
      </c>
    </row>
    <row r="8">
      <c r="A8" s="3" t="inlineStr">
        <is>
          <t>drain_coeff</t>
        </is>
      </c>
      <c r="B8" s="8" t="n">
        <v>0.005</v>
      </c>
      <c r="C8" s="6" t="inlineStr">
        <is>
          <t>round-trip pool drain (IL-like), APR per 1.0 daily turnover. Small.</t>
        </is>
      </c>
    </row>
    <row r="9">
      <c r="A9" s="3" t="inlineStr">
        <is>
          <t>HLP_base_APR</t>
        </is>
      </c>
      <c r="B9" s="8" t="n">
        <v>0.1</v>
      </c>
      <c r="C9" s="6" t="inlineStr">
        <is>
          <t>yield on HLP if LP posts HLP as margin instead of dollars (external input).</t>
        </is>
      </c>
    </row>
    <row r="10">
      <c r="A10" s="3" t="inlineStr">
        <is>
          <t>HLP_tail_haircut</t>
        </is>
      </c>
      <c r="B10" s="9" t="n">
        <v>0</v>
      </c>
      <c r="C10" s="6" t="inlineStr">
        <is>
          <t>0=pure additive (operator's simple layer); &gt;0 shaves HLP yield as vol rises (crash co-movement).</t>
        </is>
      </c>
    </row>
    <row r="13">
      <c r="A13" s="3" t="inlineStr">
        <is>
          <t>Grid axes (editable):</t>
        </is>
      </c>
    </row>
    <row r="14">
      <c r="A14" s="6" t="inlineStr">
        <is>
          <t>daily_turnover -&gt;</t>
        </is>
      </c>
      <c r="B14" s="9" t="n">
        <v>0.25</v>
      </c>
      <c r="C14" s="9" t="n">
        <v>0.5</v>
      </c>
      <c r="D14" s="9" t="n">
        <v>1</v>
      </c>
      <c r="E14" s="9" t="n">
        <v>2</v>
      </c>
      <c r="F14" s="9" t="n">
        <v>5</v>
      </c>
    </row>
    <row r="15">
      <c r="A15" s="6" t="inlineStr">
        <is>
          <t>sigma (annualized) -&gt;</t>
        </is>
      </c>
      <c r="B15" s="8" t="n">
        <v>0.2</v>
      </c>
      <c r="C15" s="8" t="n">
        <v>0.4</v>
      </c>
      <c r="D15" s="8" t="n">
        <v>0.6</v>
      </c>
      <c r="E15" s="8" t="n">
        <v>0.9</v>
      </c>
      <c r="F15" s="8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BASE LP — net yield APR. GREEN=makes money, RED=loses.</t>
        </is>
      </c>
    </row>
    <row r="2">
      <c r="A2" s="3" t="inlineStr">
        <is>
          <t>sigma \ turnover(/day)</t>
        </is>
      </c>
      <c r="B2" s="10">
        <f>Assumptions!B$14</f>
        <v/>
      </c>
      <c r="C2" s="10">
        <f>Assumptions!C$14</f>
        <v/>
      </c>
      <c r="D2" s="10">
        <f>Assumptions!D$14</f>
        <v/>
      </c>
      <c r="E2" s="10">
        <f>Assumptions!E$14</f>
        <v/>
      </c>
      <c r="F2" s="10">
        <f>Assumptions!F$14</f>
        <v/>
      </c>
    </row>
    <row r="3">
      <c r="A3" s="11">
        <f>Assumptions!B$15</f>
        <v/>
      </c>
      <c r="B3" s="12">
        <f>(Assumptions!$B$5/10000*B$2*Assumptions!$B$4)+Assumptions!$B$6-(($A3^2)/8)*(1-Assumptions!$B$7)-Assumptions!$B$8*B$2</f>
        <v/>
      </c>
      <c r="C3" s="12">
        <f>(Assumptions!$B$5/10000*C$2*Assumptions!$B$4)+Assumptions!$B$6-(($A3^2)/8)*(1-Assumptions!$B$7)-Assumptions!$B$8*C$2</f>
        <v/>
      </c>
      <c r="D3" s="12">
        <f>(Assumptions!$B$5/10000*D$2*Assumptions!$B$4)+Assumptions!$B$6-(($A3^2)/8)*(1-Assumptions!$B$7)-Assumptions!$B$8*D$2</f>
        <v/>
      </c>
      <c r="E3" s="12">
        <f>(Assumptions!$B$5/10000*E$2*Assumptions!$B$4)+Assumptions!$B$6-(($A3^2)/8)*(1-Assumptions!$B$7)-Assumptions!$B$8*E$2</f>
        <v/>
      </c>
      <c r="F3" s="12">
        <f>(Assumptions!$B$5/10000*F$2*Assumptions!$B$4)+Assumptions!$B$6-(($A3^2)/8)*(1-Assumptions!$B$7)-Assumptions!$B$8*F$2</f>
        <v/>
      </c>
    </row>
    <row r="4">
      <c r="A4" s="11">
        <f>Assumptions!C$15</f>
        <v/>
      </c>
      <c r="B4" s="12">
        <f>(Assumptions!$B$5/10000*B$2*Assumptions!$B$4)+Assumptions!$B$6-(($A4^2)/8)*(1-Assumptions!$B$7)-Assumptions!$B$8*B$2</f>
        <v/>
      </c>
      <c r="C4" s="12">
        <f>(Assumptions!$B$5/10000*C$2*Assumptions!$B$4)+Assumptions!$B$6-(($A4^2)/8)*(1-Assumptions!$B$7)-Assumptions!$B$8*C$2</f>
        <v/>
      </c>
      <c r="D4" s="12">
        <f>(Assumptions!$B$5/10000*D$2*Assumptions!$B$4)+Assumptions!$B$6-(($A4^2)/8)*(1-Assumptions!$B$7)-Assumptions!$B$8*D$2</f>
        <v/>
      </c>
      <c r="E4" s="12">
        <f>(Assumptions!$B$5/10000*E$2*Assumptions!$B$4)+Assumptions!$B$6-(($A4^2)/8)*(1-Assumptions!$B$7)-Assumptions!$B$8*E$2</f>
        <v/>
      </c>
      <c r="F4" s="12">
        <f>(Assumptions!$B$5/10000*F$2*Assumptions!$B$4)+Assumptions!$B$6-(($A4^2)/8)*(1-Assumptions!$B$7)-Assumptions!$B$8*F$2</f>
        <v/>
      </c>
    </row>
    <row r="5">
      <c r="A5" s="11">
        <f>Assumptions!D$15</f>
        <v/>
      </c>
      <c r="B5" s="12">
        <f>(Assumptions!$B$5/10000*B$2*Assumptions!$B$4)+Assumptions!$B$6-(($A5^2)/8)*(1-Assumptions!$B$7)-Assumptions!$B$8*B$2</f>
        <v/>
      </c>
      <c r="C5" s="12">
        <f>(Assumptions!$B$5/10000*C$2*Assumptions!$B$4)+Assumptions!$B$6-(($A5^2)/8)*(1-Assumptions!$B$7)-Assumptions!$B$8*C$2</f>
        <v/>
      </c>
      <c r="D5" s="12">
        <f>(Assumptions!$B$5/10000*D$2*Assumptions!$B$4)+Assumptions!$B$6-(($A5^2)/8)*(1-Assumptions!$B$7)-Assumptions!$B$8*D$2</f>
        <v/>
      </c>
      <c r="E5" s="12">
        <f>(Assumptions!$B$5/10000*E$2*Assumptions!$B$4)+Assumptions!$B$6-(($A5^2)/8)*(1-Assumptions!$B$7)-Assumptions!$B$8*E$2</f>
        <v/>
      </c>
      <c r="F5" s="12">
        <f>(Assumptions!$B$5/10000*F$2*Assumptions!$B$4)+Assumptions!$B$6-(($A5^2)/8)*(1-Assumptions!$B$7)-Assumptions!$B$8*F$2</f>
        <v/>
      </c>
    </row>
    <row r="6">
      <c r="A6" s="11">
        <f>Assumptions!E$15</f>
        <v/>
      </c>
      <c r="B6" s="12">
        <f>(Assumptions!$B$5/10000*B$2*Assumptions!$B$4)+Assumptions!$B$6-(($A6^2)/8)*(1-Assumptions!$B$7)-Assumptions!$B$8*B$2</f>
        <v/>
      </c>
      <c r="C6" s="12">
        <f>(Assumptions!$B$5/10000*C$2*Assumptions!$B$4)+Assumptions!$B$6-(($A6^2)/8)*(1-Assumptions!$B$7)-Assumptions!$B$8*C$2</f>
        <v/>
      </c>
      <c r="D6" s="12">
        <f>(Assumptions!$B$5/10000*D$2*Assumptions!$B$4)+Assumptions!$B$6-(($A6^2)/8)*(1-Assumptions!$B$7)-Assumptions!$B$8*D$2</f>
        <v/>
      </c>
      <c r="E6" s="12">
        <f>(Assumptions!$B$5/10000*E$2*Assumptions!$B$4)+Assumptions!$B$6-(($A6^2)/8)*(1-Assumptions!$B$7)-Assumptions!$B$8*E$2</f>
        <v/>
      </c>
      <c r="F6" s="12">
        <f>(Assumptions!$B$5/10000*F$2*Assumptions!$B$4)+Assumptions!$B$6-(($A6^2)/8)*(1-Assumptions!$B$7)-Assumptions!$B$8*F$2</f>
        <v/>
      </c>
    </row>
    <row r="7">
      <c r="A7" s="11">
        <f>Assumptions!F$15</f>
        <v/>
      </c>
      <c r="B7" s="12">
        <f>(Assumptions!$B$5/10000*B$2*Assumptions!$B$4)+Assumptions!$B$6-(($A7^2)/8)*(1-Assumptions!$B$7)-Assumptions!$B$8*B$2</f>
        <v/>
      </c>
      <c r="C7" s="12">
        <f>(Assumptions!$B$5/10000*C$2*Assumptions!$B$4)+Assumptions!$B$6-(($A7^2)/8)*(1-Assumptions!$B$7)-Assumptions!$B$8*C$2</f>
        <v/>
      </c>
      <c r="D7" s="12">
        <f>(Assumptions!$B$5/10000*D$2*Assumptions!$B$4)+Assumptions!$B$6-(($A7^2)/8)*(1-Assumptions!$B$7)-Assumptions!$B$8*D$2</f>
        <v/>
      </c>
      <c r="E7" s="12">
        <f>(Assumptions!$B$5/10000*E$2*Assumptions!$B$4)+Assumptions!$B$6-(($A7^2)/8)*(1-Assumptions!$B$7)-Assumptions!$B$8*E$2</f>
        <v/>
      </c>
      <c r="F7" s="12">
        <f>(Assumptions!$B$5/10000*F$2*Assumptions!$B$4)+Assumptions!$B$6-(($A7^2)/8)*(1-Assumptions!$B$7)-Assumptions!$B$8*F$2</f>
        <v/>
      </c>
    </row>
    <row r="10">
      <c r="A10" s="1" t="inlineStr">
        <is>
          <t>RESTAKED LP (HLP-margined) — net yield APR.</t>
        </is>
      </c>
    </row>
    <row r="11">
      <c r="A11" s="3" t="inlineStr">
        <is>
          <t>sigma \ turnover(/day)</t>
        </is>
      </c>
      <c r="B11" s="10">
        <f>Assumptions!B$14</f>
        <v/>
      </c>
      <c r="C11" s="10">
        <f>Assumptions!C$14</f>
        <v/>
      </c>
      <c r="D11" s="10">
        <f>Assumptions!D$14</f>
        <v/>
      </c>
      <c r="E11" s="10">
        <f>Assumptions!E$14</f>
        <v/>
      </c>
      <c r="F11" s="10">
        <f>Assumptions!F$14</f>
        <v/>
      </c>
    </row>
    <row r="12">
      <c r="A12" s="11">
        <f>Assumptions!B$15</f>
        <v/>
      </c>
      <c r="B12" s="12">
        <f>((Assumptions!$B$5/10000*B$11*Assumptions!$B$4)+Assumptions!$B$6-(($A12^2)/8)*(1-Assumptions!$B$7)-Assumptions!$B$8*B$11)+Assumptions!$B$9*(1-Assumptions!$B$10*$A12)</f>
        <v/>
      </c>
      <c r="C12" s="12">
        <f>((Assumptions!$B$5/10000*C$11*Assumptions!$B$4)+Assumptions!$B$6-(($A12^2)/8)*(1-Assumptions!$B$7)-Assumptions!$B$8*C$11)+Assumptions!$B$9*(1-Assumptions!$B$10*$A12)</f>
        <v/>
      </c>
      <c r="D12" s="12">
        <f>((Assumptions!$B$5/10000*D$11*Assumptions!$B$4)+Assumptions!$B$6-(($A12^2)/8)*(1-Assumptions!$B$7)-Assumptions!$B$8*D$11)+Assumptions!$B$9*(1-Assumptions!$B$10*$A12)</f>
        <v/>
      </c>
      <c r="E12" s="12">
        <f>((Assumptions!$B$5/10000*E$11*Assumptions!$B$4)+Assumptions!$B$6-(($A12^2)/8)*(1-Assumptions!$B$7)-Assumptions!$B$8*E$11)+Assumptions!$B$9*(1-Assumptions!$B$10*$A12)</f>
        <v/>
      </c>
      <c r="F12" s="12">
        <f>((Assumptions!$B$5/10000*F$11*Assumptions!$B$4)+Assumptions!$B$6-(($A12^2)/8)*(1-Assumptions!$B$7)-Assumptions!$B$8*F$11)+Assumptions!$B$9*(1-Assumptions!$B$10*$A12)</f>
        <v/>
      </c>
    </row>
    <row r="13">
      <c r="A13" s="11">
        <f>Assumptions!C$15</f>
        <v/>
      </c>
      <c r="B13" s="12">
        <f>((Assumptions!$B$5/10000*B$11*Assumptions!$B$4)+Assumptions!$B$6-(($A13^2)/8)*(1-Assumptions!$B$7)-Assumptions!$B$8*B$11)+Assumptions!$B$9*(1-Assumptions!$B$10*$A13)</f>
        <v/>
      </c>
      <c r="C13" s="12">
        <f>((Assumptions!$B$5/10000*C$11*Assumptions!$B$4)+Assumptions!$B$6-(($A13^2)/8)*(1-Assumptions!$B$7)-Assumptions!$B$8*C$11)+Assumptions!$B$9*(1-Assumptions!$B$10*$A13)</f>
        <v/>
      </c>
      <c r="D13" s="12">
        <f>((Assumptions!$B$5/10000*D$11*Assumptions!$B$4)+Assumptions!$B$6-(($A13^2)/8)*(1-Assumptions!$B$7)-Assumptions!$B$8*D$11)+Assumptions!$B$9*(1-Assumptions!$B$10*$A13)</f>
        <v/>
      </c>
      <c r="E13" s="12">
        <f>((Assumptions!$B$5/10000*E$11*Assumptions!$B$4)+Assumptions!$B$6-(($A13^2)/8)*(1-Assumptions!$B$7)-Assumptions!$B$8*E$11)+Assumptions!$B$9*(1-Assumptions!$B$10*$A13)</f>
        <v/>
      </c>
      <c r="F13" s="12">
        <f>((Assumptions!$B$5/10000*F$11*Assumptions!$B$4)+Assumptions!$B$6-(($A13^2)/8)*(1-Assumptions!$B$7)-Assumptions!$B$8*F$11)+Assumptions!$B$9*(1-Assumptions!$B$10*$A13)</f>
        <v/>
      </c>
    </row>
    <row r="14">
      <c r="A14" s="11">
        <f>Assumptions!D$15</f>
        <v/>
      </c>
      <c r="B14" s="12">
        <f>((Assumptions!$B$5/10000*B$11*Assumptions!$B$4)+Assumptions!$B$6-(($A14^2)/8)*(1-Assumptions!$B$7)-Assumptions!$B$8*B$11)+Assumptions!$B$9*(1-Assumptions!$B$10*$A14)</f>
        <v/>
      </c>
      <c r="C14" s="12">
        <f>((Assumptions!$B$5/10000*C$11*Assumptions!$B$4)+Assumptions!$B$6-(($A14^2)/8)*(1-Assumptions!$B$7)-Assumptions!$B$8*C$11)+Assumptions!$B$9*(1-Assumptions!$B$10*$A14)</f>
        <v/>
      </c>
      <c r="D14" s="12">
        <f>((Assumptions!$B$5/10000*D$11*Assumptions!$B$4)+Assumptions!$B$6-(($A14^2)/8)*(1-Assumptions!$B$7)-Assumptions!$B$8*D$11)+Assumptions!$B$9*(1-Assumptions!$B$10*$A14)</f>
        <v/>
      </c>
      <c r="E14" s="12">
        <f>((Assumptions!$B$5/10000*E$11*Assumptions!$B$4)+Assumptions!$B$6-(($A14^2)/8)*(1-Assumptions!$B$7)-Assumptions!$B$8*E$11)+Assumptions!$B$9*(1-Assumptions!$B$10*$A14)</f>
        <v/>
      </c>
      <c r="F14" s="12">
        <f>((Assumptions!$B$5/10000*F$11*Assumptions!$B$4)+Assumptions!$B$6-(($A14^2)/8)*(1-Assumptions!$B$7)-Assumptions!$B$8*F$11)+Assumptions!$B$9*(1-Assumptions!$B$10*$A14)</f>
        <v/>
      </c>
    </row>
    <row r="15">
      <c r="A15" s="11">
        <f>Assumptions!E$15</f>
        <v/>
      </c>
      <c r="B15" s="12">
        <f>((Assumptions!$B$5/10000*B$11*Assumptions!$B$4)+Assumptions!$B$6-(($A15^2)/8)*(1-Assumptions!$B$7)-Assumptions!$B$8*B$11)+Assumptions!$B$9*(1-Assumptions!$B$10*$A15)</f>
        <v/>
      </c>
      <c r="C15" s="12">
        <f>((Assumptions!$B$5/10000*C$11*Assumptions!$B$4)+Assumptions!$B$6-(($A15^2)/8)*(1-Assumptions!$B$7)-Assumptions!$B$8*C$11)+Assumptions!$B$9*(1-Assumptions!$B$10*$A15)</f>
        <v/>
      </c>
      <c r="D15" s="12">
        <f>((Assumptions!$B$5/10000*D$11*Assumptions!$B$4)+Assumptions!$B$6-(($A15^2)/8)*(1-Assumptions!$B$7)-Assumptions!$B$8*D$11)+Assumptions!$B$9*(1-Assumptions!$B$10*$A15)</f>
        <v/>
      </c>
      <c r="E15" s="12">
        <f>((Assumptions!$B$5/10000*E$11*Assumptions!$B$4)+Assumptions!$B$6-(($A15^2)/8)*(1-Assumptions!$B$7)-Assumptions!$B$8*E$11)+Assumptions!$B$9*(1-Assumptions!$B$10*$A15)</f>
        <v/>
      </c>
      <c r="F15" s="12">
        <f>((Assumptions!$B$5/10000*F$11*Assumptions!$B$4)+Assumptions!$B$6-(($A15^2)/8)*(1-Assumptions!$B$7)-Assumptions!$B$8*F$11)+Assumptions!$B$9*(1-Assumptions!$B$10*$A15)</f>
        <v/>
      </c>
    </row>
    <row r="16">
      <c r="A16" s="11">
        <f>Assumptions!F$15</f>
        <v/>
      </c>
      <c r="B16" s="12">
        <f>((Assumptions!$B$5/10000*B$11*Assumptions!$B$4)+Assumptions!$B$6-(($A16^2)/8)*(1-Assumptions!$B$7)-Assumptions!$B$8*B$11)+Assumptions!$B$9*(1-Assumptions!$B$10*$A16)</f>
        <v/>
      </c>
      <c r="C16" s="12">
        <f>((Assumptions!$B$5/10000*C$11*Assumptions!$B$4)+Assumptions!$B$6-(($A16^2)/8)*(1-Assumptions!$B$7)-Assumptions!$B$8*C$11)+Assumptions!$B$9*(1-Assumptions!$B$10*$A16)</f>
        <v/>
      </c>
      <c r="D16" s="12">
        <f>((Assumptions!$B$5/10000*D$11*Assumptions!$B$4)+Assumptions!$B$6-(($A16^2)/8)*(1-Assumptions!$B$7)-Assumptions!$B$8*D$11)+Assumptions!$B$9*(1-Assumptions!$B$10*$A16)</f>
        <v/>
      </c>
      <c r="E16" s="12">
        <f>((Assumptions!$B$5/10000*E$11*Assumptions!$B$4)+Assumptions!$B$6-(($A16^2)/8)*(1-Assumptions!$B$7)-Assumptions!$B$8*E$11)+Assumptions!$B$9*(1-Assumptions!$B$10*$A16)</f>
        <v/>
      </c>
      <c r="F16" s="12">
        <f>((Assumptions!$B$5/10000*F$11*Assumptions!$B$4)+Assumptions!$B$6-(($A16^2)/8)*(1-Assumptions!$B$7)-Assumptions!$B$8*F$11)+Assumptions!$B$9*(1-Assumptions!$B$10*$A16)</f>
        <v/>
      </c>
    </row>
    <row r="19">
      <c r="A19" s="6" t="inlineStr">
        <is>
          <t>Break-even = the green/red boundary: trading volume needed at each vol for LPs to be net-positive.</t>
        </is>
      </c>
    </row>
  </sheetData>
  <conditionalFormatting sqref="B3:F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2:F16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</cols>
  <sheetData>
    <row r="1">
      <c r="A1" s="1" t="inlineStr">
        <is>
          <t>SINGLE-SCENARIO BREAKDOWN (edit the two yellow inputs)</t>
        </is>
      </c>
    </row>
    <row r="3">
      <c r="A3" s="3" t="inlineStr">
        <is>
          <t>daily_turnover</t>
        </is>
      </c>
      <c r="B3" s="9" t="n">
        <v>1</v>
      </c>
    </row>
    <row r="4">
      <c r="A4" s="3" t="inlineStr">
        <is>
          <t>sigma (annualized)</t>
        </is>
      </c>
      <c r="B4" s="8" t="n">
        <v>0.6</v>
      </c>
    </row>
    <row r="6">
      <c r="A6" s="3" t="inlineStr">
        <is>
          <t>Fee income (APR)</t>
        </is>
      </c>
      <c r="B6" s="12">
        <f>Assumptions!$B$5/10000*$B$3*Assumptions!$B$4</f>
        <v/>
      </c>
      <c r="C6" s="6" t="inlineStr">
        <is>
          <t>turnover x fee, annualized</t>
        </is>
      </c>
    </row>
    <row r="7">
      <c r="A7" s="3" t="inlineStr">
        <is>
          <t>Funding income (APR)</t>
        </is>
      </c>
      <c r="B7" s="12">
        <f>Assumptions!$B$6</f>
        <v/>
      </c>
      <c r="C7" s="6" t="inlineStr">
        <is>
          <t>placeholder — update-2</t>
        </is>
      </c>
    </row>
    <row r="8">
      <c r="A8" s="3" t="inlineStr">
        <is>
          <t>LVR cost (APR)</t>
        </is>
      </c>
      <c r="B8" s="12">
        <f>-(($B$4^2)/8)*(1-Assumptions!$B$7)</f>
        <v/>
      </c>
      <c r="C8" s="6" t="inlineStr">
        <is>
          <t>sigma^2/8 x (1-protection)</t>
        </is>
      </c>
    </row>
    <row r="9">
      <c r="A9" s="3" t="inlineStr">
        <is>
          <t>Round-trip drain (APR)</t>
        </is>
      </c>
      <c r="B9" s="12">
        <f>-Assumptions!$B$8*$B$3</f>
        <v/>
      </c>
      <c r="C9" s="6" t="inlineStr">
        <is>
          <t>IL-like open-&gt;close</t>
        </is>
      </c>
    </row>
    <row r="10">
      <c r="A10" s="3" t="inlineStr">
        <is>
          <t>BASE LP net (APR)</t>
        </is>
      </c>
      <c r="B10" s="13">
        <f>B6+B7+B8+B9</f>
        <v/>
      </c>
      <c r="C10" s="6" t="inlineStr">
        <is>
          <t>sum above</t>
        </is>
      </c>
    </row>
    <row r="11">
      <c r="A11" s="3" t="inlineStr">
        <is>
          <t>HLP layer (APR)</t>
        </is>
      </c>
      <c r="B11" s="12">
        <f>Assumptions!$B$9*(1-Assumptions!$B$10*$B$4)</f>
        <v/>
      </c>
      <c r="C11" s="6" t="inlineStr">
        <is>
          <t>additive minus tail haircut</t>
        </is>
      </c>
    </row>
    <row r="12">
      <c r="A12" s="3" t="inlineStr">
        <is>
          <t>RESTAKED LP net (APR)</t>
        </is>
      </c>
      <c r="B12" s="13">
        <f>B10+B11</f>
        <v/>
      </c>
      <c r="C12" s="6" t="inlineStr">
        <is>
          <t>base + HLP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2026-07-15T14:51:34Z</dcterms:created>
  <dcterms:modified xsi:type="dcterms:W3CDTF">2026-07-15T14:51:34Z</dcterms:modified>
</cp:coreProperties>
</file>