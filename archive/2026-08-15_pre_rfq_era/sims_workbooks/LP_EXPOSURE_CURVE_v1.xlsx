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_Exposure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4E7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6" customWidth="1" min="1" max="1"/>
  </cols>
  <sheetData>
    <row r="1">
      <c r="A1" s="1" t="inlineStr">
        <is>
          <t>LP CURVE FROM MARGIN + EXPOSURE LIMITS (operator entry 604)</t>
        </is>
      </c>
    </row>
    <row r="2">
      <c r="A2" t="inlineStr">
        <is>
          <t>LP no longer inputs a notional. Inputs = margin, leverage cap, long/short exposure limits. Everything else INTERPOLATES with current exposure e.</t>
        </is>
      </c>
    </row>
    <row r="4">
      <c r="A4" s="1" t="inlineStr">
        <is>
          <t>INPUTS (blue = editable)</t>
        </is>
      </c>
    </row>
    <row r="5">
      <c r="A5" t="inlineStr">
        <is>
          <t>margin M (BTC)</t>
        </is>
      </c>
      <c r="B5" s="2" t="n">
        <v>15</v>
      </c>
    </row>
    <row r="6">
      <c r="A6" t="inlineStr">
        <is>
          <t>leverage cap L</t>
        </is>
      </c>
      <c r="B6" s="2" t="n">
        <v>10</v>
      </c>
    </row>
    <row r="7">
      <c r="A7" t="inlineStr">
        <is>
          <t>long exposure limit  E+ (BTC-perp)</t>
        </is>
      </c>
      <c r="B7" s="2" t="n">
        <v>60</v>
      </c>
    </row>
    <row r="8">
      <c r="A8" t="inlineStr">
        <is>
          <t>short exposure limit E- (BTC-perp)</t>
        </is>
      </c>
      <c r="B8" s="2" t="n">
        <v>-40</v>
      </c>
    </row>
    <row r="9">
      <c r="A9" t="inlineStr">
        <is>
          <t>current exposure e (BTC-perp)</t>
        </is>
      </c>
      <c r="B9" s="2" t="n">
        <v>10</v>
      </c>
    </row>
    <row r="10">
      <c r="A10" t="inlineStr">
        <is>
          <t>max level tilt t_max (frac of S-bar)</t>
        </is>
      </c>
      <c r="B10" s="2" t="n">
        <v>0.08</v>
      </c>
    </row>
    <row r="11">
      <c r="A11" t="inlineStr">
        <is>
          <t>S-bar base (from oracle map)</t>
        </is>
      </c>
      <c r="B11" s="2" t="n">
        <v>0.6</v>
      </c>
    </row>
    <row r="13">
      <c r="A13" s="1" t="inlineStr">
        <is>
          <t>DERIVED — the interpolation</t>
        </is>
      </c>
    </row>
    <row r="14">
      <c r="A14" t="inlineStr">
        <is>
          <t>margin-implied capacity  M*L</t>
        </is>
      </c>
      <c r="B14">
        <f>B5*B6</f>
        <v/>
      </c>
    </row>
    <row r="15">
      <c r="A15" t="inlineStr">
        <is>
          <t>limits feasible? (|limits| &lt;= M*L)</t>
        </is>
      </c>
      <c r="B15">
        <f>IF(AND(B7&lt;=B14,ABS(B8)&lt;=B14),"ok","LIMITS EXCEED MARGIN")</f>
        <v/>
      </c>
    </row>
    <row r="16">
      <c r="A16" t="inlineStr">
        <is>
          <t>room to get LONGER   C_bid = max(0, E+ - e)</t>
        </is>
      </c>
      <c r="B16">
        <f>MAX(0,B7-B9)</f>
        <v/>
      </c>
    </row>
    <row r="17">
      <c r="A17" t="inlineStr">
        <is>
          <t>room to get SHORTER  C_ask = max(0, e - E-)</t>
        </is>
      </c>
      <c r="B17">
        <f>MAX(0,B9-B8)</f>
        <v/>
      </c>
    </row>
    <row r="18">
      <c r="A18" t="inlineStr">
        <is>
          <t>half-range  H = (E+ - E-)/2</t>
        </is>
      </c>
      <c r="B18">
        <f>(B7-B8)/2</f>
        <v/>
      </c>
    </row>
    <row r="19">
      <c r="A19" t="inlineStr">
        <is>
          <t>midpoint    m = (E+ + E-)/2</t>
        </is>
      </c>
      <c r="B19">
        <f>(B7+B8)/2</f>
        <v/>
      </c>
    </row>
    <row r="20">
      <c r="A20" t="inlineStr">
        <is>
          <t>inventory position  z = (e - m)/H   in [-1,1]</t>
        </is>
      </c>
      <c r="B20">
        <f>(B9-B19)/B18</f>
        <v/>
      </c>
    </row>
    <row r="21">
      <c r="A21" t="inlineStr">
        <is>
          <t>bid-side depth  N_bid = C_bid  (BTC it will still buy)</t>
        </is>
      </c>
      <c r="B21">
        <f>B16</f>
        <v/>
      </c>
    </row>
    <row r="22">
      <c r="A22" t="inlineStr">
        <is>
          <t>ask-side depth  N_ask = C_ask  (BTC it will still sell)</t>
        </is>
      </c>
      <c r="B22">
        <f>B17</f>
        <v/>
      </c>
    </row>
    <row r="23">
      <c r="A23" t="inlineStr">
        <is>
          <t>level tilt  t = -t_max * z   (long inventory -&gt; quote lower to shed)</t>
        </is>
      </c>
      <c r="B23">
        <f>-B10*B20</f>
        <v/>
      </c>
    </row>
    <row r="24">
      <c r="A24" t="inlineStr">
        <is>
          <t>effective level  S-bar_eff = S-bar * (1 + t)</t>
        </is>
      </c>
      <c r="B24">
        <f>B11*(1+B23)</f>
        <v/>
      </c>
    </row>
    <row r="26">
      <c r="A26" t="inlineStr">
        <is>
          <t>READ: at e = E+ the bid side is DEAD (N_bid=0, it can only reduce); at e = E- the ask side is dead; in between everything is linear in e. Margin only gates the limits, it is not a depth number.</t>
        </is>
      </c>
    </row>
    <row r="28">
      <c r="A28" s="1" t="inlineStr">
        <is>
          <t>SWEEP — the same LP across its exposure range</t>
        </is>
      </c>
    </row>
    <row r="29">
      <c r="A29" s="1" t="inlineStr">
        <is>
          <t>e</t>
        </is>
      </c>
      <c r="B29" s="1" t="inlineStr">
        <is>
          <t>z</t>
        </is>
      </c>
      <c r="C29" s="1" t="inlineStr">
        <is>
          <t>N_bid</t>
        </is>
      </c>
      <c r="D29" s="1" t="inlineStr">
        <is>
          <t>N_ask</t>
        </is>
      </c>
      <c r="E29" s="1" t="inlineStr">
        <is>
          <t>tilt</t>
        </is>
      </c>
      <c r="F29" s="1" t="inlineStr">
        <is>
          <t>S-bar_eff</t>
        </is>
      </c>
    </row>
    <row r="30">
      <c r="A30" t="n">
        <v>-40</v>
      </c>
      <c r="B30">
        <f>(A30-$B$19)/$B$18</f>
        <v/>
      </c>
      <c r="C30">
        <f>MAX(0,$B$7-A30)</f>
        <v/>
      </c>
      <c r="D30">
        <f>MAX(0,A30-$B$8)</f>
        <v/>
      </c>
      <c r="E30">
        <f>-$B$10*B30</f>
        <v/>
      </c>
      <c r="F30">
        <f>$B$11*(1+E30)</f>
        <v/>
      </c>
    </row>
    <row r="31">
      <c r="A31" t="n">
        <v>-25</v>
      </c>
      <c r="B31">
        <f>(A31-$B$19)/$B$18</f>
        <v/>
      </c>
      <c r="C31">
        <f>MAX(0,$B$7-A31)</f>
        <v/>
      </c>
      <c r="D31">
        <f>MAX(0,A31-$B$8)</f>
        <v/>
      </c>
      <c r="E31">
        <f>-$B$10*B31</f>
        <v/>
      </c>
      <c r="F31">
        <f>$B$11*(1+E31)</f>
        <v/>
      </c>
    </row>
    <row r="32">
      <c r="A32" t="n">
        <v>-10</v>
      </c>
      <c r="B32">
        <f>(A32-$B$19)/$B$18</f>
        <v/>
      </c>
      <c r="C32">
        <f>MAX(0,$B$7-A32)</f>
        <v/>
      </c>
      <c r="D32">
        <f>MAX(0,A32-$B$8)</f>
        <v/>
      </c>
      <c r="E32">
        <f>-$B$10*B32</f>
        <v/>
      </c>
      <c r="F32">
        <f>$B$11*(1+E32)</f>
        <v/>
      </c>
    </row>
    <row r="33">
      <c r="A33" t="n">
        <v>0</v>
      </c>
      <c r="B33">
        <f>(A33-$B$19)/$B$18</f>
        <v/>
      </c>
      <c r="C33">
        <f>MAX(0,$B$7-A33)</f>
        <v/>
      </c>
      <c r="D33">
        <f>MAX(0,A33-$B$8)</f>
        <v/>
      </c>
      <c r="E33">
        <f>-$B$10*B33</f>
        <v/>
      </c>
      <c r="F33">
        <f>$B$11*(1+E33)</f>
        <v/>
      </c>
    </row>
    <row r="34">
      <c r="A34" t="n">
        <v>10</v>
      </c>
      <c r="B34">
        <f>(A34-$B$19)/$B$18</f>
        <v/>
      </c>
      <c r="C34">
        <f>MAX(0,$B$7-A34)</f>
        <v/>
      </c>
      <c r="D34">
        <f>MAX(0,A34-$B$8)</f>
        <v/>
      </c>
      <c r="E34">
        <f>-$B$10*B34</f>
        <v/>
      </c>
      <c r="F34">
        <f>$B$11*(1+E34)</f>
        <v/>
      </c>
    </row>
    <row r="35">
      <c r="A35" t="n">
        <v>25</v>
      </c>
      <c r="B35">
        <f>(A35-$B$19)/$B$18</f>
        <v/>
      </c>
      <c r="C35">
        <f>MAX(0,$B$7-A35)</f>
        <v/>
      </c>
      <c r="D35">
        <f>MAX(0,A35-$B$8)</f>
        <v/>
      </c>
      <c r="E35">
        <f>-$B$10*B35</f>
        <v/>
      </c>
      <c r="F35">
        <f>$B$11*(1+E35)</f>
        <v/>
      </c>
    </row>
    <row r="36">
      <c r="A36" t="n">
        <v>40</v>
      </c>
      <c r="B36">
        <f>(A36-$B$19)/$B$18</f>
        <v/>
      </c>
      <c r="C36">
        <f>MAX(0,$B$7-A36)</f>
        <v/>
      </c>
      <c r="D36">
        <f>MAX(0,A36-$B$8)</f>
        <v/>
      </c>
      <c r="E36">
        <f>-$B$10*B36</f>
        <v/>
      </c>
      <c r="F36">
        <f>$B$11*(1+E36)</f>
        <v/>
      </c>
    </row>
    <row r="37">
      <c r="A37" t="n">
        <v>50</v>
      </c>
      <c r="B37">
        <f>(A37-$B$19)/$B$18</f>
        <v/>
      </c>
      <c r="C37">
        <f>MAX(0,$B$7-A37)</f>
        <v/>
      </c>
      <c r="D37">
        <f>MAX(0,A37-$B$8)</f>
        <v/>
      </c>
      <c r="E37">
        <f>-$B$10*B37</f>
        <v/>
      </c>
      <c r="F37">
        <f>$B$11*(1+E37)</f>
        <v/>
      </c>
    </row>
    <row r="38">
      <c r="A38" t="n">
        <v>60</v>
      </c>
      <c r="B38">
        <f>(A38-$B$19)/$B$18</f>
        <v/>
      </c>
      <c r="C38">
        <f>MAX(0,$B$7-A38)</f>
        <v/>
      </c>
      <c r="D38">
        <f>MAX(0,A38-$B$8)</f>
        <v/>
      </c>
      <c r="E38">
        <f>-$B$10*B38</f>
        <v/>
      </c>
      <c r="F38">
        <f>$B$11*(1+E38)</f>
        <v/>
      </c>
    </row>
    <row r="40">
      <c r="A40" s="1" t="inlineStr">
        <is>
          <t>CHECKS</t>
        </is>
      </c>
    </row>
    <row r="41">
      <c r="A41" t="inlineStr">
        <is>
          <t>N_bid at e=E+ is 0</t>
        </is>
      </c>
      <c r="B41">
        <f>IF(MAX(0,B7-B7)=0,"PASS","FAIL")</f>
        <v/>
      </c>
    </row>
    <row r="42">
      <c r="A42" t="inlineStr">
        <is>
          <t>N_ask at e=E- is 0</t>
        </is>
      </c>
      <c r="B42">
        <f>IF(MAX(0,B8-B8)=0,"PASS","FAIL")</f>
        <v/>
      </c>
    </row>
    <row r="43">
      <c r="A43" t="inlineStr">
        <is>
          <t>tilt at e=m is 0</t>
        </is>
      </c>
      <c r="B43">
        <f>IF(ABS(-B10*((B19-B19)/B18))&lt;0.0000001,"PASS","FAIL")</f>
        <v/>
      </c>
    </row>
    <row r="44">
      <c r="A44" t="inlineStr">
        <is>
          <t>N_bid+N_ask = E+ - E-  (constant, exposure only moves the split)</t>
        </is>
      </c>
      <c r="B44">
        <f>IF(ABS((MAX(0,B7-B9)+MAX(0,B9-B8))-(B7-B8))&lt;0.0000001,"PASS","FAIL")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2026-08-22T07:53:58Z</dcterms:created>
  <dcterms:modified xsi:type="dcterms:W3CDTF">2026-08-22T07:53:58Z</dcterms:modified>
</cp:coreProperties>
</file>